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unciones" sheetId="1" state="visible" r:id="rId1"/>
    <sheet xmlns:r="http://schemas.openxmlformats.org/officeDocument/2006/relationships" name="costos_mensuales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pipeline_b2b" sheetId="4" state="visible" r:id="rId4"/>
    <sheet xmlns:r="http://schemas.openxmlformats.org/officeDocument/2006/relationships" name="pricing_matrix" sheetId="5" state="visible" r:id="rId5"/>
    <sheet xmlns:r="http://schemas.openxmlformats.org/officeDocument/2006/relationships" name="modelo_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;(&quot;$&quot;#,##0.00);&quot;-&quot;"/>
    <numFmt numFmtId="165" formatCode="#,##0&quot; MXN&quot;;(#,##0&quot; MXN&quot;);&quot;-&quot;"/>
    <numFmt numFmtId="166" formatCode="&quot;$&quot;#,##0;(&quot;$&quot;#,##0);&quot;-&quot;"/>
    <numFmt numFmtId="167" formatCode="#,##0;(#,##0);&quot;-&quot;"/>
    <numFmt numFmtId="168" formatCode="0.0%;(0.0%);-"/>
    <numFmt numFmtId="169" formatCode="0.0&quot;x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777777"/>
      <sz val="10"/>
    </font>
    <font>
      <name val="Arial"/>
      <b val="1"/>
      <color rgb="00FFFFFF"/>
      <sz val="11"/>
    </font>
    <font>
      <name val="Arial"/>
      <b val="1"/>
      <color rgb="00000000"/>
      <sz val="12"/>
    </font>
    <font>
      <name val="Arial"/>
      <sz val="11"/>
    </font>
    <font>
      <name val="Arial"/>
      <color rgb="000000FF"/>
      <sz val="11"/>
    </font>
    <font>
      <name val="Arial"/>
      <color rgb="00000000"/>
      <sz val="11"/>
    </font>
    <font>
      <name val="Arial"/>
      <b val="1"/>
      <sz val="11"/>
    </font>
    <font>
      <name val="Arial"/>
      <b val="1"/>
      <color rgb="00000000"/>
      <sz val="11"/>
    </font>
    <font>
      <name val="Arial"/>
      <color rgb="00008000"/>
      <sz val="11"/>
    </font>
    <font>
      <name val="Arial"/>
      <b val="1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1472FF"/>
      </patternFill>
    </fill>
    <fill>
      <patternFill patternType="solid">
        <fgColor rgb="00F5F5F5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0" fillId="3" borderId="0" pivotButton="0" quotePrefix="0" xfId="0"/>
    <xf numFmtId="166" fontId="9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5" fontId="9" fillId="3" borderId="0" applyAlignment="1" pivotButton="0" quotePrefix="0" xfId="0">
      <alignment horizontal="right" vertical="center"/>
    </xf>
    <xf numFmtId="165" fontId="11" fillId="3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6" fillId="0" borderId="0" pivotButton="0" quotePrefix="0" xfId="0"/>
    <xf numFmtId="167" fontId="6" fillId="0" borderId="0" pivotButton="0" quotePrefix="0" xfId="0"/>
    <xf numFmtId="166" fontId="6" fillId="0" borderId="0" pivotButton="0" quotePrefix="0" xfId="0"/>
    <xf numFmtId="166" fontId="8" fillId="3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CFO</author>
  </authors>
  <commentList>
    <comment ref="B6" authorId="0" shapeId="0">
      <text>
        <t>verificar tipo de cambio del mes</t>
      </text>
    </comment>
    <comment ref="B9" authorId="0" shapeId="0">
      <text>
        <t>Pablo dijo 20-25K MXN; ajustar al inicio del mes</t>
      </text>
    </comment>
    <comment ref="B10" authorId="0" shapeId="0">
      <text>
        <t>estimación 8-10K MXN; afinar con factura mes</t>
      </text>
    </comment>
    <comment ref="B13" authorId="0" shapeId="0">
      <text>
        <t>Pablo: 50-60K MXN/mes del proyecto externo (Pablo-as-VC)</t>
      </text>
    </comment>
    <comment ref="B26" authorId="0" shapeId="0">
      <text>
        <t>estimación; afinar con costos reales del mes</t>
      </text>
    </comment>
  </commentList>
</comments>
</file>

<file path=xl/comments/comment2.xml><?xml version="1.0" encoding="utf-8"?>
<comments xmlns="http://schemas.openxmlformats.org/spreadsheetml/2006/main">
  <authors>
    <author>CFO</author>
  </authors>
  <commentList>
    <comment ref="E5" authorId="0" shapeId="0">
      <text>
        <t>pegar factura real</t>
      </text>
    </comment>
    <comment ref="F5" authorId="0" shapeId="0">
      <text>
        <t>pegar factura real</t>
      </text>
    </comment>
    <comment ref="G5" authorId="0" shapeId="0">
      <text>
        <t>pegar factura real</t>
      </text>
    </comment>
    <comment ref="H5" authorId="0" shapeId="0">
      <text>
        <t>pegar factura real</t>
      </text>
    </comment>
    <comment ref="I5" authorId="0" shapeId="0">
      <text>
        <t>pegar factura real</t>
      </text>
    </comment>
    <comment ref="J5" authorId="0" shapeId="0">
      <text>
        <t>pegar factura real</t>
      </text>
    </comment>
    <comment ref="K5" authorId="0" shapeId="0">
      <text>
        <t>pegar factura real</t>
      </text>
    </comment>
    <comment ref="L5" authorId="0" shapeId="0">
      <text>
        <t>pegar factura real</t>
      </text>
    </comment>
    <comment ref="M5" authorId="0" shapeId="0">
      <text>
        <t>pegar factura real</t>
      </text>
    </comment>
    <comment ref="N5" authorId="0" shapeId="0">
      <text>
        <t>pegar factura real</t>
      </text>
    </comment>
    <comment ref="O5" authorId="0" shapeId="0">
      <text>
        <t>pegar factura real</t>
      </text>
    </comment>
    <comment ref="E6" authorId="0" shapeId="0">
      <text>
        <t>pegar factura real</t>
      </text>
    </comment>
    <comment ref="F6" authorId="0" shapeId="0">
      <text>
        <t>pegar factura real</t>
      </text>
    </comment>
    <comment ref="G6" authorId="0" shapeId="0">
      <text>
        <t>pegar factura real</t>
      </text>
    </comment>
    <comment ref="H6" authorId="0" shapeId="0">
      <text>
        <t>pegar factura real</t>
      </text>
    </comment>
    <comment ref="I6" authorId="0" shapeId="0">
      <text>
        <t>pegar factura real</t>
      </text>
    </comment>
    <comment ref="J6" authorId="0" shapeId="0">
      <text>
        <t>pegar factura real</t>
      </text>
    </comment>
    <comment ref="K6" authorId="0" shapeId="0">
      <text>
        <t>pegar factura real</t>
      </text>
    </comment>
    <comment ref="L6" authorId="0" shapeId="0">
      <text>
        <t>pegar factura real</t>
      </text>
    </comment>
    <comment ref="M6" authorId="0" shapeId="0">
      <text>
        <t>pegar factura real</t>
      </text>
    </comment>
    <comment ref="N6" authorId="0" shapeId="0">
      <text>
        <t>pegar factura real</t>
      </text>
    </comment>
    <comment ref="O6" authorId="0" shapeId="0">
      <text>
        <t>pegar factura real</t>
      </text>
    </comment>
    <comment ref="E7" authorId="0" shapeId="0">
      <text>
        <t>pegar factura real</t>
      </text>
    </comment>
    <comment ref="F7" authorId="0" shapeId="0">
      <text>
        <t>pegar factura real</t>
      </text>
    </comment>
    <comment ref="G7" authorId="0" shapeId="0">
      <text>
        <t>pegar factura real</t>
      </text>
    </comment>
    <comment ref="H7" authorId="0" shapeId="0">
      <text>
        <t>pegar factura real</t>
      </text>
    </comment>
    <comment ref="I7" authorId="0" shapeId="0">
      <text>
        <t>pegar factura real</t>
      </text>
    </comment>
    <comment ref="J7" authorId="0" shapeId="0">
      <text>
        <t>pegar factura real</t>
      </text>
    </comment>
    <comment ref="K7" authorId="0" shapeId="0">
      <text>
        <t>pegar factura real</t>
      </text>
    </comment>
    <comment ref="L7" authorId="0" shapeId="0">
      <text>
        <t>pegar factura real</t>
      </text>
    </comment>
    <comment ref="M7" authorId="0" shapeId="0">
      <text>
        <t>pegar factura real</t>
      </text>
    </comment>
    <comment ref="N7" authorId="0" shapeId="0">
      <text>
        <t>pegar factura real</t>
      </text>
    </comment>
    <comment ref="O7" authorId="0" shapeId="0">
      <text>
        <t>pegar factura real</t>
      </text>
    </comment>
    <comment ref="E8" authorId="0" shapeId="0">
      <text>
        <t>pegar factura real</t>
      </text>
    </comment>
    <comment ref="F8" authorId="0" shapeId="0">
      <text>
        <t>pegar factura real</t>
      </text>
    </comment>
    <comment ref="G8" authorId="0" shapeId="0">
      <text>
        <t>pegar factura real</t>
      </text>
    </comment>
    <comment ref="H8" authorId="0" shapeId="0">
      <text>
        <t>pegar factura real</t>
      </text>
    </comment>
    <comment ref="I8" authorId="0" shapeId="0">
      <text>
        <t>pegar factura real</t>
      </text>
    </comment>
    <comment ref="J8" authorId="0" shapeId="0">
      <text>
        <t>pegar factura real</t>
      </text>
    </comment>
    <comment ref="K8" authorId="0" shapeId="0">
      <text>
        <t>pegar factura real</t>
      </text>
    </comment>
    <comment ref="L8" authorId="0" shapeId="0">
      <text>
        <t>pegar factura real</t>
      </text>
    </comment>
    <comment ref="M8" authorId="0" shapeId="0">
      <text>
        <t>pegar factura real</t>
      </text>
    </comment>
    <comment ref="N8" authorId="0" shapeId="0">
      <text>
        <t>pegar factura real</t>
      </text>
    </comment>
    <comment ref="O8" authorId="0" shapeId="0">
      <text>
        <t>pegar factura real</t>
      </text>
    </comment>
    <comment ref="E9" authorId="0" shapeId="0">
      <text>
        <t>pegar factura real</t>
      </text>
    </comment>
    <comment ref="F9" authorId="0" shapeId="0">
      <text>
        <t>pegar factura real</t>
      </text>
    </comment>
    <comment ref="G9" authorId="0" shapeId="0">
      <text>
        <t>pegar factura real</t>
      </text>
    </comment>
    <comment ref="H9" authorId="0" shapeId="0">
      <text>
        <t>pegar factura real</t>
      </text>
    </comment>
    <comment ref="I9" authorId="0" shapeId="0">
      <text>
        <t>pegar factura real</t>
      </text>
    </comment>
    <comment ref="J9" authorId="0" shapeId="0">
      <text>
        <t>pegar factura real</t>
      </text>
    </comment>
    <comment ref="K9" authorId="0" shapeId="0">
      <text>
        <t>pegar factura real</t>
      </text>
    </comment>
    <comment ref="L9" authorId="0" shapeId="0">
      <text>
        <t>pegar factura real</t>
      </text>
    </comment>
    <comment ref="M9" authorId="0" shapeId="0">
      <text>
        <t>pegar factura real</t>
      </text>
    </comment>
    <comment ref="N9" authorId="0" shapeId="0">
      <text>
        <t>pegar factura real</t>
      </text>
    </comment>
    <comment ref="O9" authorId="0" shapeId="0">
      <text>
        <t>pegar factura real</t>
      </text>
    </comment>
    <comment ref="E10" authorId="0" shapeId="0">
      <text>
        <t>pegar factura real</t>
      </text>
    </comment>
    <comment ref="F10" authorId="0" shapeId="0">
      <text>
        <t>pegar factura real</t>
      </text>
    </comment>
    <comment ref="G10" authorId="0" shapeId="0">
      <text>
        <t>pegar factura real</t>
      </text>
    </comment>
    <comment ref="H10" authorId="0" shapeId="0">
      <text>
        <t>pegar factura real</t>
      </text>
    </comment>
    <comment ref="I10" authorId="0" shapeId="0">
      <text>
        <t>pegar factura real</t>
      </text>
    </comment>
    <comment ref="J10" authorId="0" shapeId="0">
      <text>
        <t>pegar factura real</t>
      </text>
    </comment>
    <comment ref="K10" authorId="0" shapeId="0">
      <text>
        <t>pegar factura real</t>
      </text>
    </comment>
    <comment ref="L10" authorId="0" shapeId="0">
      <text>
        <t>pegar factura real</t>
      </text>
    </comment>
    <comment ref="M10" authorId="0" shapeId="0">
      <text>
        <t>pegar factura real</t>
      </text>
    </comment>
    <comment ref="N10" authorId="0" shapeId="0">
      <text>
        <t>pegar factura real</t>
      </text>
    </comment>
    <comment ref="O10" authorId="0" shapeId="0">
      <text>
        <t>pegar factura real</t>
      </text>
    </comment>
    <comment ref="E11" authorId="0" shapeId="0">
      <text>
        <t>pegar factura real</t>
      </text>
    </comment>
    <comment ref="F11" authorId="0" shapeId="0">
      <text>
        <t>pegar factura real</t>
      </text>
    </comment>
    <comment ref="G11" authorId="0" shapeId="0">
      <text>
        <t>pegar factura real</t>
      </text>
    </comment>
    <comment ref="H11" authorId="0" shapeId="0">
      <text>
        <t>pegar factura real</t>
      </text>
    </comment>
    <comment ref="I11" authorId="0" shapeId="0">
      <text>
        <t>pegar factura real</t>
      </text>
    </comment>
    <comment ref="J11" authorId="0" shapeId="0">
      <text>
        <t>pegar factura real</t>
      </text>
    </comment>
    <comment ref="K11" authorId="0" shapeId="0">
      <text>
        <t>pegar factura real</t>
      </text>
    </comment>
    <comment ref="L11" authorId="0" shapeId="0">
      <text>
        <t>pegar factura real</t>
      </text>
    </comment>
    <comment ref="M11" authorId="0" shapeId="0">
      <text>
        <t>pegar factura real</t>
      </text>
    </comment>
    <comment ref="N11" authorId="0" shapeId="0">
      <text>
        <t>pegar factura real</t>
      </text>
    </comment>
    <comment ref="O11" authorId="0" shapeId="0">
      <text>
        <t>pegar factura real</t>
      </text>
    </comment>
    <comment ref="E12" authorId="0" shapeId="0">
      <text>
        <t>pegar factura real</t>
      </text>
    </comment>
    <comment ref="F12" authorId="0" shapeId="0">
      <text>
        <t>pegar factura real</t>
      </text>
    </comment>
    <comment ref="G12" authorId="0" shapeId="0">
      <text>
        <t>pegar factura real</t>
      </text>
    </comment>
    <comment ref="H12" authorId="0" shapeId="0">
      <text>
        <t>pegar factura real</t>
      </text>
    </comment>
    <comment ref="I12" authorId="0" shapeId="0">
      <text>
        <t>pegar factura real</t>
      </text>
    </comment>
    <comment ref="J12" authorId="0" shapeId="0">
      <text>
        <t>pegar factura real</t>
      </text>
    </comment>
    <comment ref="K12" authorId="0" shapeId="0">
      <text>
        <t>pegar factura real</t>
      </text>
    </comment>
    <comment ref="L12" authorId="0" shapeId="0">
      <text>
        <t>pegar factura real</t>
      </text>
    </comment>
    <comment ref="M12" authorId="0" shapeId="0">
      <text>
        <t>pegar factura real</t>
      </text>
    </comment>
    <comment ref="N12" authorId="0" shapeId="0">
      <text>
        <t>pegar factura real</t>
      </text>
    </comment>
    <comment ref="O12" authorId="0" shapeId="0">
      <text>
        <t>pegar factura real</t>
      </text>
    </comment>
    <comment ref="E13" authorId="0" shapeId="0">
      <text>
        <t>pegar factura real</t>
      </text>
    </comment>
    <comment ref="F13" authorId="0" shapeId="0">
      <text>
        <t>pegar factura real</t>
      </text>
    </comment>
    <comment ref="G13" authorId="0" shapeId="0">
      <text>
        <t>pegar factura real</t>
      </text>
    </comment>
    <comment ref="H13" authorId="0" shapeId="0">
      <text>
        <t>pegar factura real</t>
      </text>
    </comment>
    <comment ref="I13" authorId="0" shapeId="0">
      <text>
        <t>pegar factura real</t>
      </text>
    </comment>
    <comment ref="J13" authorId="0" shapeId="0">
      <text>
        <t>pegar factura real</t>
      </text>
    </comment>
    <comment ref="K13" authorId="0" shapeId="0">
      <text>
        <t>pegar factura real</t>
      </text>
    </comment>
    <comment ref="L13" authorId="0" shapeId="0">
      <text>
        <t>pegar factura real</t>
      </text>
    </comment>
    <comment ref="M13" authorId="0" shapeId="0">
      <text>
        <t>pegar factura real</t>
      </text>
    </comment>
    <comment ref="N13" authorId="0" shapeId="0">
      <text>
        <t>pegar factura real</t>
      </text>
    </comment>
    <comment ref="O13" authorId="0" shapeId="0">
      <text>
        <t>pegar factura real</t>
      </text>
    </comment>
    <comment ref="E14" authorId="0" shapeId="0">
      <text>
        <t>pegar factura real</t>
      </text>
    </comment>
    <comment ref="F14" authorId="0" shapeId="0">
      <text>
        <t>pegar factura real</t>
      </text>
    </comment>
    <comment ref="G14" authorId="0" shapeId="0">
      <text>
        <t>pegar factura real</t>
      </text>
    </comment>
    <comment ref="H14" authorId="0" shapeId="0">
      <text>
        <t>pegar factura real</t>
      </text>
    </comment>
    <comment ref="I14" authorId="0" shapeId="0">
      <text>
        <t>pegar factura real</t>
      </text>
    </comment>
    <comment ref="J14" authorId="0" shapeId="0">
      <text>
        <t>pegar factura real</t>
      </text>
    </comment>
    <comment ref="K14" authorId="0" shapeId="0">
      <text>
        <t>pegar factura real</t>
      </text>
    </comment>
    <comment ref="L14" authorId="0" shapeId="0">
      <text>
        <t>pegar factura real</t>
      </text>
    </comment>
    <comment ref="M14" authorId="0" shapeId="0">
      <text>
        <t>pegar factura real</t>
      </text>
    </comment>
    <comment ref="N14" authorId="0" shapeId="0">
      <text>
        <t>pegar factura real</t>
      </text>
    </comment>
    <comment ref="O14" authorId="0" shapeId="0">
      <text>
        <t>pegar factura real</t>
      </text>
    </comment>
    <comment ref="E15" authorId="0" shapeId="0">
      <text>
        <t>pegar factura real</t>
      </text>
    </comment>
    <comment ref="F15" authorId="0" shapeId="0">
      <text>
        <t>pegar factura real</t>
      </text>
    </comment>
    <comment ref="G15" authorId="0" shapeId="0">
      <text>
        <t>pegar factura real</t>
      </text>
    </comment>
    <comment ref="H15" authorId="0" shapeId="0">
      <text>
        <t>pegar factura real</t>
      </text>
    </comment>
    <comment ref="I15" authorId="0" shapeId="0">
      <text>
        <t>pegar factura real</t>
      </text>
    </comment>
    <comment ref="J15" authorId="0" shapeId="0">
      <text>
        <t>pegar factura real</t>
      </text>
    </comment>
    <comment ref="K15" authorId="0" shapeId="0">
      <text>
        <t>pegar factura real</t>
      </text>
    </comment>
    <comment ref="L15" authorId="0" shapeId="0">
      <text>
        <t>pegar factura real</t>
      </text>
    </comment>
    <comment ref="M15" authorId="0" shapeId="0">
      <text>
        <t>pegar factura real</t>
      </text>
    </comment>
    <comment ref="N15" authorId="0" shapeId="0">
      <text>
        <t>pegar factura real</t>
      </text>
    </comment>
    <comment ref="O15" authorId="0" shapeId="0">
      <text>
        <t>pegar factura real</t>
      </text>
    </comment>
  </commentList>
</comments>
</file>

<file path=xl/comments/comment3.xml><?xml version="1.0" encoding="utf-8"?>
<comments xmlns="http://schemas.openxmlformats.org/spreadsheetml/2006/main">
  <authors>
    <author>CFO</author>
  </authors>
  <commentList>
    <comment ref="B7" authorId="0" shapeId="0">
      <text>
        <t>llenar cuando haya primer cobro real</t>
      </text>
    </comment>
    <comment ref="C7" authorId="0" shapeId="0">
      <text>
        <t>llenar cuando haya primer cobro real</t>
      </text>
    </comment>
    <comment ref="D7" authorId="0" shapeId="0">
      <text>
        <t>llenar cuando haya primer cobro real</t>
      </text>
    </comment>
    <comment ref="E7" authorId="0" shapeId="0">
      <text>
        <t>llenar cuando haya primer cobro real</t>
      </text>
    </comment>
    <comment ref="F7" authorId="0" shapeId="0">
      <text>
        <t>llenar cuando haya primer cobro real</t>
      </text>
    </comment>
    <comment ref="G7" authorId="0" shapeId="0">
      <text>
        <t>llenar cuando haya primer cobro real</t>
      </text>
    </comment>
    <comment ref="H7" authorId="0" shapeId="0">
      <text>
        <t>llenar cuando haya primer cobro real</t>
      </text>
    </comment>
    <comment ref="I7" authorId="0" shapeId="0">
      <text>
        <t>llenar cuando haya primer cobro real</t>
      </text>
    </comment>
    <comment ref="J7" authorId="0" shapeId="0">
      <text>
        <t>llenar cuando haya primer cobro real</t>
      </text>
    </comment>
    <comment ref="K7" authorId="0" shapeId="0">
      <text>
        <t>llenar cuando haya primer cobro real</t>
      </text>
    </comment>
    <comment ref="L7" authorId="0" shapeId="0">
      <text>
        <t>llenar cuando haya primer cobro real</t>
      </text>
    </comment>
    <comment ref="M7" authorId="0" shapeId="0">
      <text>
        <t>llenar cuando haya primer cobro real</t>
      </text>
    </comment>
  </commentList>
</comments>
</file>

<file path=xl/comments/comment4.xml><?xml version="1.0" encoding="utf-8"?>
<comments xmlns="http://schemas.openxmlformats.org/spreadsheetml/2006/main">
  <authors>
    <author>CFO</author>
  </authors>
  <commentList>
    <comment ref="A5" authorId="0" shapeId="0">
      <text>
        <t>empresa</t>
      </text>
    </comment>
    <comment ref="A6" authorId="0" shapeId="0">
      <text>
        <t>empresa</t>
      </text>
    </comment>
    <comment ref="A7" authorId="0" shapeId="0">
      <text>
        <t>empresa</t>
      </text>
    </comment>
    <comment ref="A8" authorId="0" shapeId="0">
      <text>
        <t>empresa</t>
      </text>
    </comment>
    <comment ref="A9" authorId="0" shapeId="0">
      <text>
        <t>empresa</t>
      </text>
    </comment>
    <comment ref="A10" authorId="0" shapeId="0">
      <text>
        <t>empresa</t>
      </text>
    </comment>
    <comment ref="A11" authorId="0" shapeId="0">
      <text>
        <t>empresa</t>
      </text>
    </comment>
    <comment ref="A12" authorId="0" shapeId="0">
      <text>
        <t>empresa</t>
      </text>
    </comment>
    <comment ref="A13" authorId="0" shapeId="0">
      <text>
        <t>empresa</t>
      </text>
    </comment>
    <comment ref="A14" authorId="0" shapeId="0">
      <text>
        <t>empresa</t>
      </text>
    </comment>
    <comment ref="A15" authorId="0" shapeId="0">
      <text>
        <t>empresa</t>
      </text>
    </comment>
    <comment ref="A16" authorId="0" shapeId="0">
      <text>
        <t>empresa</t>
      </text>
    </comment>
    <comment ref="A17" authorId="0" shapeId="0">
      <text>
        <t>empresa</t>
      </text>
    </comment>
    <comment ref="A18" authorId="0" shapeId="0">
      <text>
        <t>empresa</t>
      </text>
    </comment>
    <comment ref="A19" authorId="0" shapeId="0">
      <text>
        <t>empresa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50" customWidth="1" min="4" max="4"/>
  </cols>
  <sheetData>
    <row r="1">
      <c r="A1" s="1" t="inlineStr">
        <is>
          <t>asunciones — drivers del modelo financiero</t>
        </is>
      </c>
    </row>
    <row r="2">
      <c r="A2" s="2" t="inlineStr">
        <is>
          <t>actualiza acá las asunciones; el resto de hojas leen de aquí</t>
        </is>
      </c>
    </row>
    <row r="4">
      <c r="A4" s="3" t="inlineStr">
        <is>
          <t>concepto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notas</t>
        </is>
      </c>
    </row>
    <row r="5">
      <c r="A5" s="4" t="inlineStr">
        <is>
          <t>tipo de cambio</t>
        </is>
      </c>
    </row>
    <row r="6">
      <c r="A6" s="5" t="inlineStr">
        <is>
          <t>MXN por USD</t>
        </is>
      </c>
      <c r="B6" s="6" t="n">
        <v>22</v>
      </c>
      <c r="C6" s="7" t="inlineStr">
        <is>
          <t>MXN/USD</t>
        </is>
      </c>
      <c r="D6" s="5" t="inlineStr">
        <is>
          <t>ajustar mensual con dato real</t>
        </is>
      </c>
    </row>
    <row r="8">
      <c r="A8" s="4" t="inlineStr">
        <is>
          <t>cash &amp; runway</t>
        </is>
      </c>
    </row>
    <row r="9">
      <c r="A9" s="5" t="inlineStr">
        <is>
          <t>cash inicial (MXN)</t>
        </is>
      </c>
      <c r="B9" s="8" t="n">
        <v>22500</v>
      </c>
      <c r="C9" s="5" t="inlineStr">
        <is>
          <t>MXN</t>
        </is>
      </c>
      <c r="D9" s="5" t="inlineStr">
        <is>
          <t>saldo en cuenta al cierre del mes anterior</t>
        </is>
      </c>
    </row>
    <row r="10">
      <c r="A10" s="5" t="inlineStr">
        <is>
          <t>burn técnico mensual (MXN)</t>
        </is>
      </c>
      <c r="B10" s="8" t="n">
        <v>9000</v>
      </c>
      <c r="C10" s="5" t="inlineStr">
        <is>
          <t>MXN</t>
        </is>
      </c>
      <c r="D10" s="5" t="inlineStr">
        <is>
          <t>infra + saas (anthropic, supabase, vercel, etc.)</t>
        </is>
      </c>
    </row>
    <row r="11">
      <c r="A11" s="5" t="inlineStr">
        <is>
          <t>image generation budget (USD)</t>
        </is>
      </c>
      <c r="B11" s="9" t="n">
        <v>150</v>
      </c>
      <c r="C11" s="5" t="inlineStr">
        <is>
          <t>USD</t>
        </is>
      </c>
      <c r="D11" s="5" t="inlineStr">
        <is>
          <t>Recraft + Flux/Replicate + buffer</t>
        </is>
      </c>
    </row>
    <row r="12">
      <c r="A12" s="5" t="inlineStr">
        <is>
          <t>marketing budget (USD)</t>
        </is>
      </c>
      <c r="B12" s="9" t="n">
        <v>0</v>
      </c>
      <c r="C12" s="5" t="inlineStr">
        <is>
          <t>USD</t>
        </is>
      </c>
      <c r="D12" s="5" t="inlineStr">
        <is>
          <t>100% orgánico fase 1; subir si Pablo aprueba</t>
        </is>
      </c>
    </row>
    <row r="13">
      <c r="A13" s="5" t="inlineStr">
        <is>
          <t>inflow externo mensual (MXN)</t>
        </is>
      </c>
      <c r="B13" s="8" t="n">
        <v>55000</v>
      </c>
      <c r="C13" s="5" t="inlineStr">
        <is>
          <t>MXN</t>
        </is>
      </c>
      <c r="D13" s="5" t="inlineStr">
        <is>
          <t>capital aporte, no revenue de itera</t>
        </is>
      </c>
    </row>
    <row r="14">
      <c r="A14" s="5" t="inlineStr">
        <is>
          <t>trigger plan B (meses sin inflow)</t>
        </is>
      </c>
      <c r="B14" s="10" t="n">
        <v>1</v>
      </c>
      <c r="C14" s="5" t="inlineStr">
        <is>
          <t>meses</t>
        </is>
      </c>
      <c r="D14" s="5" t="inlineStr">
        <is>
          <t>si pasa este # de meses sin inflow, se activa downside</t>
        </is>
      </c>
    </row>
    <row r="16">
      <c r="A16" s="4" t="inlineStr">
        <is>
          <t>pricing matrix (USD)</t>
        </is>
      </c>
    </row>
    <row r="17">
      <c r="A17" s="5" t="inlineStr">
        <is>
          <t>free tier</t>
        </is>
      </c>
      <c r="B17" s="9" t="n">
        <v>0</v>
      </c>
      <c r="C17" s="5" t="inlineStr">
        <is>
          <t>USD/mes</t>
        </is>
      </c>
      <c r="D17" s="5" t="inlineStr">
        <is>
          <t>trial / champion seed</t>
        </is>
      </c>
    </row>
    <row r="18">
      <c r="A18" s="5" t="inlineStr">
        <is>
          <t>prosumer mensual</t>
        </is>
      </c>
      <c r="B18" s="9" t="n">
        <v>29</v>
      </c>
      <c r="C18" s="5" t="inlineStr">
        <is>
          <t>USD/mes</t>
        </is>
      </c>
      <c r="D18" s="5" t="inlineStr">
        <is>
          <t>individuos serios; sin custom curriculum, sin operación</t>
        </is>
      </c>
    </row>
    <row r="19">
      <c r="A19" s="5" t="inlineStr">
        <is>
          <t>prosumer anual</t>
        </is>
      </c>
      <c r="B19" s="9" t="n">
        <v>290</v>
      </c>
      <c r="C19" s="5" t="inlineStr">
        <is>
          <t>USD/año</t>
        </is>
      </c>
      <c r="D19" s="5" t="inlineStr">
        <is>
          <t>$24/mes equivalente</t>
        </is>
      </c>
    </row>
    <row r="20">
      <c r="A20" s="5" t="inlineStr">
        <is>
          <t>team B2B (5-19 seats)</t>
        </is>
      </c>
      <c r="B20" s="9" t="n">
        <v>39</v>
      </c>
      <c r="C20" s="5" t="inlineStr">
        <is>
          <t>USD/seat/mes</t>
        </is>
      </c>
      <c r="D20" s="5" t="inlineStr">
        <is>
          <t>anual prepagado = $420/seat/año</t>
        </is>
      </c>
    </row>
    <row r="21">
      <c r="A21" s="5" t="inlineStr">
        <is>
          <t>business B2B (20-99 seats)</t>
        </is>
      </c>
      <c r="B21" s="9" t="n">
        <v>29</v>
      </c>
      <c r="C21" s="5" t="inlineStr">
        <is>
          <t>USD/seat/mes</t>
        </is>
      </c>
      <c r="D21" s="5" t="inlineStr">
        <is>
          <t>anual prepagado = $348/seat/año + BYOK</t>
        </is>
      </c>
    </row>
    <row r="22">
      <c r="A22" s="5" t="inlineStr">
        <is>
          <t>enterprise (100+)</t>
        </is>
      </c>
      <c r="B22" s="9" t="n">
        <v>19</v>
      </c>
      <c r="C22" s="5" t="inlineStr">
        <is>
          <t>USD/seat/mes</t>
        </is>
      </c>
      <c r="D22" s="5" t="inlineStr">
        <is>
          <t>custom desde este piso</t>
        </is>
      </c>
    </row>
    <row r="24">
      <c r="A24" s="4" t="inlineStr">
        <is>
          <t>unit economics</t>
        </is>
      </c>
    </row>
    <row r="25">
      <c r="A25" s="5" t="inlineStr">
        <is>
          <t>gross margin target</t>
        </is>
      </c>
      <c r="B25" s="11" t="n">
        <v>0.85</v>
      </c>
      <c r="C25" s="5" t="inlineStr">
        <is>
          <t>%</t>
        </is>
      </c>
      <c r="D25" s="5" t="inlineStr">
        <is>
          <t>objetivo blended; BYOK ayuda a llegar</t>
        </is>
      </c>
    </row>
    <row r="26">
      <c r="A26" s="5" t="inlineStr">
        <is>
          <t>COGS por usuario activo (USD)</t>
        </is>
      </c>
      <c r="B26" s="6" t="n">
        <v>4</v>
      </c>
      <c r="C26" s="5" t="inlineStr">
        <is>
          <t>USD/mes</t>
        </is>
      </c>
      <c r="D26" s="5" t="inlineStr">
        <is>
          <t>anthropic + openai + cohere prorrateado</t>
        </is>
      </c>
    </row>
    <row r="27">
      <c r="A27" s="5" t="inlineStr">
        <is>
          <t>conversión free → paid (B2C)</t>
        </is>
      </c>
      <c r="B27" s="11" t="n">
        <v>0.03</v>
      </c>
      <c r="C27" s="5" t="inlineStr">
        <is>
          <t>%</t>
        </is>
      </c>
      <c r="D27" s="5" t="inlineStr">
        <is>
          <t>asumido; validar con primer mes de tráfico</t>
        </is>
      </c>
    </row>
    <row r="28">
      <c r="A28" s="5" t="inlineStr">
        <is>
          <t>churn mensual prosumer</t>
        </is>
      </c>
      <c r="B28" s="11" t="n">
        <v>0.07000000000000001</v>
      </c>
      <c r="C28" s="5" t="inlineStr">
        <is>
          <t>%</t>
        </is>
      </c>
      <c r="D28" s="5" t="inlineStr">
        <is>
          <t>B2C edtech típico LATAM</t>
        </is>
      </c>
    </row>
    <row r="29">
      <c r="A29" s="5" t="inlineStr">
        <is>
          <t>churn anual B2B team</t>
        </is>
      </c>
      <c r="B29" s="11" t="n">
        <v>0.15</v>
      </c>
      <c r="C29" s="5" t="inlineStr">
        <is>
          <t>%</t>
        </is>
      </c>
      <c r="D29" s="5" t="inlineStr">
        <is>
          <t>B2B SaaS LATAM mid-market</t>
        </is>
      </c>
    </row>
    <row r="31">
      <c r="A31" s="4" t="inlineStr">
        <is>
          <t>régimen fiscal RIF (México)</t>
        </is>
      </c>
    </row>
    <row r="32">
      <c r="A32" s="5" t="inlineStr">
        <is>
          <t>tope RIF anual (MXN)</t>
        </is>
      </c>
      <c r="B32" s="12" t="n">
        <v>3500000</v>
      </c>
      <c r="C32" s="5" t="inlineStr">
        <is>
          <t>MXN</t>
        </is>
      </c>
      <c r="D32" s="5" t="inlineStr">
        <is>
          <t>techo legal; arriba se migra a persona moral</t>
        </is>
      </c>
    </row>
    <row r="33">
      <c r="A33" s="5" t="inlineStr">
        <is>
          <t>tope RIF anual (USD)</t>
        </is>
      </c>
      <c r="B33" s="13">
        <f>asunciones!$B$32/asunciones!$B$6</f>
        <v/>
      </c>
      <c r="C33" s="5" t="inlineStr">
        <is>
          <t>USD</t>
        </is>
      </c>
      <c r="D33" s="5" t="inlineStr">
        <is>
          <t>calculado al tipo de cambio actual</t>
        </is>
      </c>
    </row>
    <row r="34">
      <c r="A34" s="5" t="inlineStr">
        <is>
          <t>trigger migración (% del tope)</t>
        </is>
      </c>
      <c r="B34" s="11" t="n">
        <v>0.7</v>
      </c>
      <c r="C34" s="5" t="inlineStr">
        <is>
          <t>%</t>
        </is>
      </c>
      <c r="D34" s="5" t="inlineStr">
        <is>
          <t>arrancar plan migración al llegar a este nivel</t>
        </is>
      </c>
    </row>
  </sheetData>
  <mergeCells count="7">
    <mergeCell ref="A1:D1"/>
    <mergeCell ref="A5:D5"/>
    <mergeCell ref="A8:D8"/>
    <mergeCell ref="A31:D31"/>
    <mergeCell ref="A24:D24"/>
    <mergeCell ref="A16:D16"/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costos mensuales por proveedor (USD)</t>
        </is>
      </c>
    </row>
    <row r="2">
      <c r="A2" s="2" t="inlineStr">
        <is>
          <t>celdas amarillas = pegar factura real cuando llegue. estimaciones de arranque en azul.</t>
        </is>
      </c>
    </row>
    <row r="4">
      <c r="A4" s="3" t="inlineStr">
        <is>
          <t>proveedor</t>
        </is>
      </c>
      <c r="B4" s="3" t="inlineStr">
        <is>
          <t>categoría</t>
        </is>
      </c>
      <c r="C4" s="3" t="inlineStr">
        <is>
          <t>tipo</t>
        </is>
      </c>
      <c r="D4" s="3" t="inlineStr">
        <is>
          <t>abr-26</t>
        </is>
      </c>
      <c r="E4" s="3" t="inlineStr">
        <is>
          <t>may-26</t>
        </is>
      </c>
      <c r="F4" s="3" t="inlineStr">
        <is>
          <t>jun-26</t>
        </is>
      </c>
      <c r="G4" s="3" t="inlineStr">
        <is>
          <t>jul-26</t>
        </is>
      </c>
      <c r="H4" s="3" t="inlineStr">
        <is>
          <t>ago-26</t>
        </is>
      </c>
      <c r="I4" s="3" t="inlineStr">
        <is>
          <t>sep-26</t>
        </is>
      </c>
      <c r="J4" s="3" t="inlineStr">
        <is>
          <t>oct-26</t>
        </is>
      </c>
      <c r="K4" s="3" t="inlineStr">
        <is>
          <t>nov-26</t>
        </is>
      </c>
      <c r="L4" s="3" t="inlineStr">
        <is>
          <t>dic-26</t>
        </is>
      </c>
      <c r="M4" s="3" t="inlineStr">
        <is>
          <t>ene-27</t>
        </is>
      </c>
      <c r="N4" s="3" t="inlineStr">
        <is>
          <t>feb-27</t>
        </is>
      </c>
      <c r="O4" s="3" t="inlineStr">
        <is>
          <t>mar-27</t>
        </is>
      </c>
    </row>
    <row r="5">
      <c r="A5" s="5" t="inlineStr">
        <is>
          <t>Anthropic API</t>
        </is>
      </c>
      <c r="B5" s="5" t="inlineStr">
        <is>
          <t>AI provider</t>
        </is>
      </c>
      <c r="C5" s="5" t="inlineStr">
        <is>
          <t>variable</t>
        </is>
      </c>
      <c r="D5" s="9" t="n">
        <v>60</v>
      </c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>
      <c r="A6" s="5" t="inlineStr">
        <is>
          <t>OpenAI (embeddings + completion)</t>
        </is>
      </c>
      <c r="B6" s="5" t="inlineStr">
        <is>
          <t>AI provider</t>
        </is>
      </c>
      <c r="C6" s="5" t="inlineStr">
        <is>
          <t>variable</t>
        </is>
      </c>
      <c r="D6" s="9" t="n">
        <v>15</v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A7" s="5" t="inlineStr">
        <is>
          <t>Cohere (rerank)</t>
        </is>
      </c>
      <c r="B7" s="5" t="inlineStr">
        <is>
          <t>AI provider</t>
        </is>
      </c>
      <c r="C7" s="5" t="inlineStr">
        <is>
          <t>variable</t>
        </is>
      </c>
      <c r="D7" s="9" t="n">
        <v>10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</row>
    <row r="8">
      <c r="A8" s="5" t="inlineStr">
        <is>
          <t>Supabase</t>
        </is>
      </c>
      <c r="B8" s="5" t="inlineStr">
        <is>
          <t>infra</t>
        </is>
      </c>
      <c r="C8" s="5" t="inlineStr">
        <is>
          <t>fijo</t>
        </is>
      </c>
      <c r="D8" s="9" t="n">
        <v>25</v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</row>
    <row r="9">
      <c r="A9" s="5" t="inlineStr">
        <is>
          <t>Vercel</t>
        </is>
      </c>
      <c r="B9" s="5" t="inlineStr">
        <is>
          <t>infra</t>
        </is>
      </c>
      <c r="C9" s="5" t="inlineStr">
        <is>
          <t>fijo</t>
        </is>
      </c>
      <c r="D9" s="9" t="n">
        <v>20</v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</row>
    <row r="10">
      <c r="A10" s="5" t="inlineStr">
        <is>
          <t>AgentMail</t>
        </is>
      </c>
      <c r="B10" s="5" t="inlineStr">
        <is>
          <t>infra</t>
        </is>
      </c>
      <c r="C10" s="5" t="inlineStr">
        <is>
          <t>fijo</t>
        </is>
      </c>
      <c r="D10" s="9" t="n">
        <v>10</v>
      </c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</row>
    <row r="11">
      <c r="A11" s="5" t="inlineStr">
        <is>
          <t>Recraft v4</t>
        </is>
      </c>
      <c r="B11" s="5" t="inlineStr">
        <is>
          <t>content tools</t>
        </is>
      </c>
      <c r="C11" s="5" t="inlineStr">
        <is>
          <t>variable</t>
        </is>
      </c>
      <c r="D11" s="9" t="n">
        <v>30</v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</row>
    <row r="12">
      <c r="A12" s="5" t="inlineStr">
        <is>
          <t>Flux/Replicate</t>
        </is>
      </c>
      <c r="B12" s="5" t="inlineStr">
        <is>
          <t>content tools</t>
        </is>
      </c>
      <c r="C12" s="5" t="inlineStr">
        <is>
          <t>variable</t>
        </is>
      </c>
      <c r="D12" s="9" t="n">
        <v>50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</row>
    <row r="13">
      <c r="A13" s="5" t="inlineStr">
        <is>
          <t>Dominios (.la, .com)</t>
        </is>
      </c>
      <c r="B13" s="5" t="inlineStr">
        <is>
          <t>infra</t>
        </is>
      </c>
      <c r="C13" s="5" t="inlineStr">
        <is>
          <t>fijo</t>
        </is>
      </c>
      <c r="D13" s="9" t="n">
        <v>2</v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5" t="inlineStr">
        <is>
          <t>Claude.ai / Codex / Perplexity</t>
        </is>
      </c>
      <c r="B14" s="5" t="inlineStr">
        <is>
          <t>tooling personal</t>
        </is>
      </c>
      <c r="C14" s="5" t="inlineStr">
        <is>
          <t>fijo</t>
        </is>
      </c>
      <c r="D14" s="9" t="n">
        <v>80</v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</row>
    <row r="15">
      <c r="A15" s="5" t="inlineStr">
        <is>
          <t>otros SaaS</t>
        </is>
      </c>
      <c r="B15" s="5" t="inlineStr">
        <is>
          <t>varios</t>
        </is>
      </c>
      <c r="C15" s="5" t="inlineStr">
        <is>
          <t>fijo</t>
        </is>
      </c>
      <c r="D15" s="9" t="n">
        <v>0</v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>
      <c r="A16" s="15" t="inlineStr">
        <is>
          <t>TOTAL</t>
        </is>
      </c>
      <c r="B16" s="16" t="n"/>
      <c r="C16" s="16" t="n"/>
      <c r="D16" s="17">
        <f>SUM(D5:D15)</f>
        <v/>
      </c>
      <c r="E16" s="17">
        <f>SUM(E5:E15)</f>
        <v/>
      </c>
      <c r="F16" s="17">
        <f>SUM(F5:F15)</f>
        <v/>
      </c>
      <c r="G16" s="17">
        <f>SUM(G5:G15)</f>
        <v/>
      </c>
      <c r="H16" s="17">
        <f>SUM(H5:H15)</f>
        <v/>
      </c>
      <c r="I16" s="17">
        <f>SUM(I5:I15)</f>
        <v/>
      </c>
      <c r="J16" s="17">
        <f>SUM(J5:J15)</f>
        <v/>
      </c>
      <c r="K16" s="17">
        <f>SUM(K5:K15)</f>
        <v/>
      </c>
      <c r="L16" s="17">
        <f>SUM(L5:L15)</f>
        <v/>
      </c>
      <c r="M16" s="17">
        <f>SUM(M5:M15)</f>
        <v/>
      </c>
      <c r="N16" s="17">
        <f>SUM(N5:N15)</f>
        <v/>
      </c>
      <c r="O16" s="17">
        <f>SUM(O5:O15)</f>
        <v/>
      </c>
    </row>
    <row r="17">
      <c r="A17" s="15" t="inlineStr">
        <is>
          <t>TOTAL (MXN)</t>
        </is>
      </c>
      <c r="D17" s="18">
        <f>D16*asunciones!$B$6</f>
        <v/>
      </c>
      <c r="E17" s="18">
        <f>E16*asunciones!$B$6</f>
        <v/>
      </c>
      <c r="F17" s="18">
        <f>F16*asunciones!$B$6</f>
        <v/>
      </c>
      <c r="G17" s="18">
        <f>G16*asunciones!$B$6</f>
        <v/>
      </c>
      <c r="H17" s="18">
        <f>H16*asunciones!$B$6</f>
        <v/>
      </c>
      <c r="I17" s="18">
        <f>I16*asunciones!$B$6</f>
        <v/>
      </c>
      <c r="J17" s="18">
        <f>J16*asunciones!$B$6</f>
        <v/>
      </c>
      <c r="K17" s="18">
        <f>K16*asunciones!$B$6</f>
        <v/>
      </c>
      <c r="L17" s="18">
        <f>L16*asunciones!$B$6</f>
        <v/>
      </c>
      <c r="M17" s="18">
        <f>M16*asunciones!$B$6</f>
        <v/>
      </c>
      <c r="N17" s="18">
        <f>N16*asunciones!$B$6</f>
        <v/>
      </c>
      <c r="O17" s="18">
        <f>O16*asunciones!$B$6</f>
        <v/>
      </c>
    </row>
  </sheetData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cash flow mensual (MXN)</t>
        </is>
      </c>
    </row>
    <row r="2">
      <c r="A2" s="2" t="inlineStr">
        <is>
          <t>todo en MXN. inflow externo es 'capital aporte' (no revenue de itera). los costos vienen de la hoja costos_mensuales × tipo de cambio.</t>
        </is>
      </c>
    </row>
    <row r="4">
      <c r="A4" s="3" t="inlineStr">
        <is>
          <t>concepto</t>
        </is>
      </c>
      <c r="B4" s="3" t="inlineStr">
        <is>
          <t>abr-26</t>
        </is>
      </c>
      <c r="C4" s="3" t="inlineStr">
        <is>
          <t>may-26</t>
        </is>
      </c>
      <c r="D4" s="3" t="inlineStr">
        <is>
          <t>jun-26</t>
        </is>
      </c>
      <c r="E4" s="3" t="inlineStr">
        <is>
          <t>jul-26</t>
        </is>
      </c>
      <c r="F4" s="3" t="inlineStr">
        <is>
          <t>ago-26</t>
        </is>
      </c>
      <c r="G4" s="3" t="inlineStr">
        <is>
          <t>sep-26</t>
        </is>
      </c>
      <c r="H4" s="3" t="inlineStr">
        <is>
          <t>oct-26</t>
        </is>
      </c>
      <c r="I4" s="3" t="inlineStr">
        <is>
          <t>nov-26</t>
        </is>
      </c>
      <c r="J4" s="3" t="inlineStr">
        <is>
          <t>dic-26</t>
        </is>
      </c>
      <c r="K4" s="3" t="inlineStr">
        <is>
          <t>ene-27</t>
        </is>
      </c>
      <c r="L4" s="3" t="inlineStr">
        <is>
          <t>feb-27</t>
        </is>
      </c>
      <c r="M4" s="3" t="inlineStr">
        <is>
          <t>mar-27</t>
        </is>
      </c>
    </row>
    <row r="5">
      <c r="A5" s="15" t="inlineStr">
        <is>
          <t>ENTRADAS</t>
        </is>
      </c>
    </row>
    <row r="6">
      <c r="A6" s="5" t="inlineStr">
        <is>
          <t xml:space="preserve">  inflow externo (Pablo-as-VC)</t>
        </is>
      </c>
      <c r="B6" s="19">
        <f>asunciones!$B$13</f>
        <v/>
      </c>
      <c r="C6" s="19">
        <f>asunciones!$B$13</f>
        <v/>
      </c>
      <c r="D6" s="19">
        <f>asunciones!$B$13</f>
        <v/>
      </c>
      <c r="E6" s="19">
        <f>asunciones!$B$13</f>
        <v/>
      </c>
      <c r="F6" s="19">
        <f>asunciones!$B$13</f>
        <v/>
      </c>
      <c r="G6" s="19">
        <f>asunciones!$B$13</f>
        <v/>
      </c>
      <c r="H6" s="19">
        <f>asunciones!$B$13</f>
        <v/>
      </c>
      <c r="I6" s="19">
        <f>asunciones!$B$13</f>
        <v/>
      </c>
      <c r="J6" s="19">
        <f>asunciones!$B$13</f>
        <v/>
      </c>
      <c r="K6" s="19">
        <f>asunciones!$B$13</f>
        <v/>
      </c>
      <c r="L6" s="19">
        <f>asunciones!$B$13</f>
        <v/>
      </c>
      <c r="M6" s="19">
        <f>asunciones!$B$13</f>
        <v/>
      </c>
    </row>
    <row r="7">
      <c r="A7" s="5" t="inlineStr">
        <is>
          <t xml:space="preserve">  revenue itera (placeholder)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</row>
    <row r="8">
      <c r="A8" s="5" t="inlineStr">
        <is>
          <t xml:space="preserve">  total entradas</t>
        </is>
      </c>
      <c r="B8" s="20">
        <f>SUM(B6:B7)</f>
        <v/>
      </c>
      <c r="C8" s="20">
        <f>SUM(C6:C7)</f>
        <v/>
      </c>
      <c r="D8" s="20">
        <f>SUM(D6:D7)</f>
        <v/>
      </c>
      <c r="E8" s="20">
        <f>SUM(E6:E7)</f>
        <v/>
      </c>
      <c r="F8" s="20">
        <f>SUM(F6:F7)</f>
        <v/>
      </c>
      <c r="G8" s="20">
        <f>SUM(G6:G7)</f>
        <v/>
      </c>
      <c r="H8" s="20">
        <f>SUM(H6:H7)</f>
        <v/>
      </c>
      <c r="I8" s="20">
        <f>SUM(I6:I7)</f>
        <v/>
      </c>
      <c r="J8" s="20">
        <f>SUM(J6:J7)</f>
        <v/>
      </c>
      <c r="K8" s="20">
        <f>SUM(K6:K7)</f>
        <v/>
      </c>
      <c r="L8" s="20">
        <f>SUM(L6:L7)</f>
        <v/>
      </c>
      <c r="M8" s="20">
        <f>SUM(M6:M7)</f>
        <v/>
      </c>
    </row>
    <row r="10">
      <c r="A10" s="15" t="inlineStr">
        <is>
          <t>SALIDAS</t>
        </is>
      </c>
    </row>
    <row r="11">
      <c r="A11" s="5" t="inlineStr">
        <is>
          <t xml:space="preserve">  burn técnico (infra + AI)</t>
        </is>
      </c>
      <c r="B11" s="19">
        <f>costos_mensuales!D16*asunciones!$B$6</f>
        <v/>
      </c>
      <c r="C11" s="19">
        <f>costos_mensuales!E16*asunciones!$B$6</f>
        <v/>
      </c>
      <c r="D11" s="19">
        <f>costos_mensuales!F16*asunciones!$B$6</f>
        <v/>
      </c>
      <c r="E11" s="19">
        <f>costos_mensuales!G16*asunciones!$B$6</f>
        <v/>
      </c>
      <c r="F11" s="19">
        <f>costos_mensuales!H16*asunciones!$B$6</f>
        <v/>
      </c>
      <c r="G11" s="19">
        <f>costos_mensuales!I16*asunciones!$B$6</f>
        <v/>
      </c>
      <c r="H11" s="19">
        <f>costos_mensuales!J16*asunciones!$B$6</f>
        <v/>
      </c>
      <c r="I11" s="19">
        <f>costos_mensuales!K16*asunciones!$B$6</f>
        <v/>
      </c>
      <c r="J11" s="19">
        <f>costos_mensuales!L16*asunciones!$B$6</f>
        <v/>
      </c>
      <c r="K11" s="19">
        <f>costos_mensuales!M16*asunciones!$B$6</f>
        <v/>
      </c>
      <c r="L11" s="19">
        <f>costos_mensuales!N16*asunciones!$B$6</f>
        <v/>
      </c>
      <c r="M11" s="19">
        <f>costos_mensuales!O16*asunciones!$B$6</f>
        <v/>
      </c>
    </row>
    <row r="12">
      <c r="A12" s="5" t="inlineStr">
        <is>
          <t xml:space="preserve">  marketing</t>
        </is>
      </c>
      <c r="B12" s="19">
        <f>asunciones!$B$12*asunciones!$B$6</f>
        <v/>
      </c>
      <c r="C12" s="19">
        <f>asunciones!$B$12*asunciones!$B$6</f>
        <v/>
      </c>
      <c r="D12" s="19">
        <f>asunciones!$B$12*asunciones!$B$6</f>
        <v/>
      </c>
      <c r="E12" s="19">
        <f>asunciones!$B$12*asunciones!$B$6</f>
        <v/>
      </c>
      <c r="F12" s="19">
        <f>asunciones!$B$12*asunciones!$B$6</f>
        <v/>
      </c>
      <c r="G12" s="19">
        <f>asunciones!$B$12*asunciones!$B$6</f>
        <v/>
      </c>
      <c r="H12" s="19">
        <f>asunciones!$B$12*asunciones!$B$6</f>
        <v/>
      </c>
      <c r="I12" s="19">
        <f>asunciones!$B$12*asunciones!$B$6</f>
        <v/>
      </c>
      <c r="J12" s="19">
        <f>asunciones!$B$12*asunciones!$B$6</f>
        <v/>
      </c>
      <c r="K12" s="19">
        <f>asunciones!$B$12*asunciones!$B$6</f>
        <v/>
      </c>
      <c r="L12" s="19">
        <f>asunciones!$B$12*asunciones!$B$6</f>
        <v/>
      </c>
      <c r="M12" s="19">
        <f>asunciones!$B$12*asunciones!$B$6</f>
        <v/>
      </c>
    </row>
    <row r="13">
      <c r="A13" s="5" t="inlineStr">
        <is>
          <t xml:space="preserve">  total salidas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20">
        <f>SUM(F11:F12)</f>
        <v/>
      </c>
      <c r="G13" s="20">
        <f>SUM(G11:G12)</f>
        <v/>
      </c>
      <c r="H13" s="20">
        <f>SUM(H11:H12)</f>
        <v/>
      </c>
      <c r="I13" s="20">
        <f>SUM(I11:I12)</f>
        <v/>
      </c>
      <c r="J13" s="20">
        <f>SUM(J11:J12)</f>
        <v/>
      </c>
      <c r="K13" s="20">
        <f>SUM(K11:K12)</f>
        <v/>
      </c>
      <c r="L13" s="20">
        <f>SUM(L11:L12)</f>
        <v/>
      </c>
      <c r="M13" s="20">
        <f>SUM(M11:M12)</f>
        <v/>
      </c>
    </row>
    <row r="15">
      <c r="A15" s="15" t="inlineStr">
        <is>
          <t>NETO MENSUAL</t>
        </is>
      </c>
      <c r="B15" s="21">
        <f>B8-B13</f>
        <v/>
      </c>
      <c r="C15" s="21">
        <f>C8-C13</f>
        <v/>
      </c>
      <c r="D15" s="21">
        <f>D8-D13</f>
        <v/>
      </c>
      <c r="E15" s="21">
        <f>E8-E13</f>
        <v/>
      </c>
      <c r="F15" s="21">
        <f>F8-F13</f>
        <v/>
      </c>
      <c r="G15" s="21">
        <f>G8-G13</f>
        <v/>
      </c>
      <c r="H15" s="21">
        <f>H8-H13</f>
        <v/>
      </c>
      <c r="I15" s="21">
        <f>I8-I13</f>
        <v/>
      </c>
      <c r="J15" s="21">
        <f>J8-J13</f>
        <v/>
      </c>
      <c r="K15" s="21">
        <f>K8-K13</f>
        <v/>
      </c>
      <c r="L15" s="21">
        <f>L8-L13</f>
        <v/>
      </c>
      <c r="M15" s="21">
        <f>M8-M13</f>
        <v/>
      </c>
    </row>
    <row r="16">
      <c r="A16" s="15" t="inlineStr">
        <is>
          <t>CASH ACUMULADO</t>
        </is>
      </c>
      <c r="B16" s="22">
        <f>asunciones!$B$9+B15</f>
        <v/>
      </c>
      <c r="C16" s="22">
        <f>B16+C15</f>
        <v/>
      </c>
      <c r="D16" s="22">
        <f>C16+D15</f>
        <v/>
      </c>
      <c r="E16" s="22">
        <f>D16+E15</f>
        <v/>
      </c>
      <c r="F16" s="22">
        <f>E16+F15</f>
        <v/>
      </c>
      <c r="G16" s="22">
        <f>F16+G15</f>
        <v/>
      </c>
      <c r="H16" s="22">
        <f>G16+H15</f>
        <v/>
      </c>
      <c r="I16" s="22">
        <f>H16+I15</f>
        <v/>
      </c>
      <c r="J16" s="22">
        <f>I16+J15</f>
        <v/>
      </c>
      <c r="K16" s="22">
        <f>J16+K15</f>
        <v/>
      </c>
      <c r="L16" s="22">
        <f>K16+L15</f>
        <v/>
      </c>
      <c r="M16" s="22">
        <f>L16+M15</f>
        <v/>
      </c>
    </row>
    <row r="18">
      <c r="A18" s="5" t="inlineStr">
        <is>
          <t>runway si inflow = 0 (meses)</t>
        </is>
      </c>
      <c r="B18" s="23">
        <f>IF(B13=0,0,B16/B13)</f>
        <v/>
      </c>
      <c r="C18" s="23">
        <f>IF(C13=0,0,C16/C13)</f>
        <v/>
      </c>
      <c r="D18" s="23">
        <f>IF(D13=0,0,D16/D13)</f>
        <v/>
      </c>
      <c r="E18" s="23">
        <f>IF(E13=0,0,E16/E13)</f>
        <v/>
      </c>
      <c r="F18" s="23">
        <f>IF(F13=0,0,F16/F13)</f>
        <v/>
      </c>
      <c r="G18" s="23">
        <f>IF(G13=0,0,G16/G13)</f>
        <v/>
      </c>
      <c r="H18" s="23">
        <f>IF(H13=0,0,H16/H13)</f>
        <v/>
      </c>
      <c r="I18" s="23">
        <f>IF(I13=0,0,I16/I13)</f>
        <v/>
      </c>
      <c r="J18" s="23">
        <f>IF(J13=0,0,J16/J13)</f>
        <v/>
      </c>
      <c r="K18" s="23">
        <f>IF(K13=0,0,K16/K13)</f>
        <v/>
      </c>
      <c r="L18" s="23">
        <f>IF(L13=0,0,L16/L13)</f>
        <v/>
      </c>
      <c r="M18" s="23">
        <f>IF(M13=0,0,M16/M13)</f>
        <v/>
      </c>
    </row>
  </sheetData>
  <mergeCells count="2">
    <mergeCell ref="A2:M2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2" customWidth="1" min="4" max="4"/>
    <col width="14" customWidth="1" min="5" max="5"/>
    <col width="30" customWidth="1" min="6" max="6"/>
    <col width="12" customWidth="1" min="7" max="7"/>
    <col width="30" customWidth="1" min="8" max="8"/>
  </cols>
  <sheetData>
    <row r="1">
      <c r="A1" s="1" t="inlineStr">
        <is>
          <t>pipeline B2B</t>
        </is>
      </c>
    </row>
    <row r="2">
      <c r="A2" s="2" t="inlineStr">
        <is>
          <t>fases: lead → demo → propuesta → piloto → contrato. ACV = annual contract value (USD).</t>
        </is>
      </c>
    </row>
    <row r="4">
      <c r="A4" s="3" t="inlineStr">
        <is>
          <t>empresa</t>
        </is>
      </c>
      <c r="B4" s="3" t="inlineStr">
        <is>
          <t>contacto</t>
        </is>
      </c>
      <c r="C4" s="3" t="inlineStr">
        <is>
          <t>fase</t>
        </is>
      </c>
      <c r="D4" s="3" t="inlineStr">
        <is>
          <t>seats est.</t>
        </is>
      </c>
      <c r="E4" s="3" t="inlineStr">
        <is>
          <t>ACV potencial USD</t>
        </is>
      </c>
      <c r="F4" s="3" t="inlineStr">
        <is>
          <t>siguiente paso</t>
        </is>
      </c>
      <c r="G4" s="3" t="inlineStr">
        <is>
          <t>fecha próxima</t>
        </is>
      </c>
      <c r="H4" s="3" t="inlineStr">
        <is>
          <t>notas</t>
        </is>
      </c>
    </row>
    <row r="5">
      <c r="A5" s="24" t="n"/>
      <c r="B5" s="25" t="n"/>
      <c r="C5" s="25" t="n"/>
      <c r="D5" s="26" t="n"/>
      <c r="E5" s="27" t="n"/>
      <c r="F5" s="25" t="n"/>
      <c r="G5" s="25" t="n"/>
      <c r="H5" s="25" t="n"/>
    </row>
    <row r="6">
      <c r="A6" s="24" t="n"/>
      <c r="B6" s="25" t="n"/>
      <c r="C6" s="25" t="n"/>
      <c r="D6" s="26" t="n"/>
      <c r="E6" s="27" t="n"/>
      <c r="F6" s="25" t="n"/>
      <c r="G6" s="25" t="n"/>
      <c r="H6" s="25" t="n"/>
    </row>
    <row r="7">
      <c r="A7" s="24" t="n"/>
      <c r="B7" s="25" t="n"/>
      <c r="C7" s="25" t="n"/>
      <c r="D7" s="26" t="n"/>
      <c r="E7" s="27" t="n"/>
      <c r="F7" s="25" t="n"/>
      <c r="G7" s="25" t="n"/>
      <c r="H7" s="25" t="n"/>
    </row>
    <row r="8">
      <c r="A8" s="24" t="n"/>
      <c r="B8" s="25" t="n"/>
      <c r="C8" s="25" t="n"/>
      <c r="D8" s="26" t="n"/>
      <c r="E8" s="27" t="n"/>
      <c r="F8" s="25" t="n"/>
      <c r="G8" s="25" t="n"/>
      <c r="H8" s="25" t="n"/>
    </row>
    <row r="9">
      <c r="A9" s="24" t="n"/>
      <c r="B9" s="25" t="n"/>
      <c r="C9" s="25" t="n"/>
      <c r="D9" s="26" t="n"/>
      <c r="E9" s="27" t="n"/>
      <c r="F9" s="25" t="n"/>
      <c r="G9" s="25" t="n"/>
      <c r="H9" s="25" t="n"/>
    </row>
    <row r="10">
      <c r="A10" s="24" t="n"/>
      <c r="B10" s="25" t="n"/>
      <c r="C10" s="25" t="n"/>
      <c r="D10" s="26" t="n"/>
      <c r="E10" s="27" t="n"/>
      <c r="F10" s="25" t="n"/>
      <c r="G10" s="25" t="n"/>
      <c r="H10" s="25" t="n"/>
    </row>
    <row r="11">
      <c r="A11" s="24" t="n"/>
      <c r="B11" s="25" t="n"/>
      <c r="C11" s="25" t="n"/>
      <c r="D11" s="26" t="n"/>
      <c r="E11" s="27" t="n"/>
      <c r="F11" s="25" t="n"/>
      <c r="G11" s="25" t="n"/>
      <c r="H11" s="25" t="n"/>
    </row>
    <row r="12">
      <c r="A12" s="24" t="n"/>
      <c r="B12" s="25" t="n"/>
      <c r="C12" s="25" t="n"/>
      <c r="D12" s="26" t="n"/>
      <c r="E12" s="27" t="n"/>
      <c r="F12" s="25" t="n"/>
      <c r="G12" s="25" t="n"/>
      <c r="H12" s="25" t="n"/>
    </row>
    <row r="13">
      <c r="A13" s="24" t="n"/>
      <c r="B13" s="25" t="n"/>
      <c r="C13" s="25" t="n"/>
      <c r="D13" s="26" t="n"/>
      <c r="E13" s="27" t="n"/>
      <c r="F13" s="25" t="n"/>
      <c r="G13" s="25" t="n"/>
      <c r="H13" s="25" t="n"/>
    </row>
    <row r="14">
      <c r="A14" s="24" t="n"/>
      <c r="B14" s="25" t="n"/>
      <c r="C14" s="25" t="n"/>
      <c r="D14" s="26" t="n"/>
      <c r="E14" s="27" t="n"/>
      <c r="F14" s="25" t="n"/>
      <c r="G14" s="25" t="n"/>
      <c r="H14" s="25" t="n"/>
    </row>
    <row r="15">
      <c r="A15" s="24" t="n"/>
      <c r="B15" s="25" t="n"/>
      <c r="C15" s="25" t="n"/>
      <c r="D15" s="26" t="n"/>
      <c r="E15" s="27" t="n"/>
      <c r="F15" s="25" t="n"/>
      <c r="G15" s="25" t="n"/>
      <c r="H15" s="25" t="n"/>
    </row>
    <row r="16">
      <c r="A16" s="24" t="n"/>
      <c r="B16" s="25" t="n"/>
      <c r="C16" s="25" t="n"/>
      <c r="D16" s="26" t="n"/>
      <c r="E16" s="27" t="n"/>
      <c r="F16" s="25" t="n"/>
      <c r="G16" s="25" t="n"/>
      <c r="H16" s="25" t="n"/>
    </row>
    <row r="17">
      <c r="A17" s="24" t="n"/>
      <c r="B17" s="25" t="n"/>
      <c r="C17" s="25" t="n"/>
      <c r="D17" s="26" t="n"/>
      <c r="E17" s="27" t="n"/>
      <c r="F17" s="25" t="n"/>
      <c r="G17" s="25" t="n"/>
      <c r="H17" s="25" t="n"/>
    </row>
    <row r="18">
      <c r="A18" s="24" t="n"/>
      <c r="B18" s="25" t="n"/>
      <c r="C18" s="25" t="n"/>
      <c r="D18" s="26" t="n"/>
      <c r="E18" s="27" t="n"/>
      <c r="F18" s="25" t="n"/>
      <c r="G18" s="25" t="n"/>
      <c r="H18" s="25" t="n"/>
    </row>
    <row r="19">
      <c r="A19" s="24" t="n"/>
      <c r="B19" s="25" t="n"/>
      <c r="C19" s="25" t="n"/>
      <c r="D19" s="26" t="n"/>
      <c r="E19" s="27" t="n"/>
      <c r="F19" s="25" t="n"/>
      <c r="G19" s="25" t="n"/>
      <c r="H19" s="25" t="n"/>
    </row>
    <row r="21">
      <c r="A21" s="15" t="inlineStr">
        <is>
          <t>TOTAL ACV pipeline (USD)</t>
        </is>
      </c>
      <c r="E21" s="28">
        <f>SUM(E5:E19)</f>
        <v/>
      </c>
    </row>
    <row r="22">
      <c r="A22" s="15" t="inlineStr">
        <is>
          <t>ACV ponderado (50% probabilidad)</t>
        </is>
      </c>
      <c r="E22" s="28">
        <f>E21*0.5</f>
        <v/>
      </c>
    </row>
  </sheetData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50" customWidth="1" min="5" max="5"/>
    <col width="14" customWidth="1" min="6" max="6"/>
  </cols>
  <sheetData>
    <row r="1">
      <c r="A1" s="1" t="inlineStr">
        <is>
          <t>pricing matrix v1 (propuesta — pendiente OK de Pablo)</t>
        </is>
      </c>
    </row>
    <row r="2">
      <c r="A2" s="2" t="inlineStr">
        <is>
          <t>comps: CEO encontró que LATAM mid-market upskilling paga $300-800/empleado/año (mediana ~$500). itera estaba subdimensionado a $200/año. headroom defendible: $400-500/año.</t>
        </is>
      </c>
    </row>
    <row r="4">
      <c r="A4" s="3" t="inlineStr">
        <is>
          <t>tier</t>
        </is>
      </c>
      <c r="B4" s="3" t="inlineStr">
        <is>
          <t>$/mes</t>
        </is>
      </c>
      <c r="C4" s="3" t="inlineStr">
        <is>
          <t>$/año</t>
        </is>
      </c>
      <c r="D4" s="3" t="inlineStr">
        <is>
          <t>seats</t>
        </is>
      </c>
      <c r="E4" s="3" t="inlineStr">
        <is>
          <t>gating / qué incluye</t>
        </is>
      </c>
      <c r="F4" s="3" t="inlineStr">
        <is>
          <t>margen target</t>
        </is>
      </c>
    </row>
    <row r="5">
      <c r="A5" s="5" t="inlineStr">
        <is>
          <t>free / trial</t>
        </is>
      </c>
      <c r="B5" s="9" t="n">
        <v>0</v>
      </c>
      <c r="C5" s="9" t="n">
        <v>0</v>
      </c>
      <c r="D5" s="5" t="inlineStr">
        <is>
          <t>1 user</t>
        </is>
      </c>
      <c r="E5" s="5" t="inlineStr">
        <is>
          <t>1 sección, sin AI tutor, sin operación, sin progreso persistente</t>
        </is>
      </c>
      <c r="F5" s="11" t="n">
        <v>0</v>
      </c>
    </row>
    <row r="6">
      <c r="A6" s="5" t="inlineStr">
        <is>
          <t>prosumer mensual</t>
        </is>
      </c>
      <c r="B6" s="9" t="n">
        <v>29</v>
      </c>
      <c r="C6" s="9" t="n">
        <v>348</v>
      </c>
      <c r="D6" s="5" t="inlineStr">
        <is>
          <t>1 user</t>
        </is>
      </c>
      <c r="E6" s="5" t="inlineStr">
        <is>
          <t>self-serve; sin custom curriculum; sin BYOK; sin SSO</t>
        </is>
      </c>
      <c r="F6" s="11" t="n">
        <v>0.75</v>
      </c>
    </row>
    <row r="7">
      <c r="A7" s="5" t="inlineStr">
        <is>
          <t>prosumer anual</t>
        </is>
      </c>
      <c r="B7" s="9" t="n">
        <v>24</v>
      </c>
      <c r="C7" s="9" t="n">
        <v>290</v>
      </c>
      <c r="D7" s="5" t="inlineStr">
        <is>
          <t>1 user</t>
        </is>
      </c>
      <c r="E7" s="5" t="inlineStr">
        <is>
          <t>self-serve; descuento por anual prepagado</t>
        </is>
      </c>
      <c r="F7" s="11" t="n">
        <v>0.78</v>
      </c>
    </row>
    <row r="8">
      <c r="A8" s="5" t="inlineStr">
        <is>
          <t>team B2B</t>
        </is>
      </c>
      <c r="B8" s="9" t="n">
        <v>39</v>
      </c>
      <c r="C8" s="9" t="n">
        <v>420</v>
      </c>
      <c r="D8" s="5" t="inlineStr">
        <is>
          <t>5-19</t>
        </is>
      </c>
      <c r="E8" s="5" t="inlineStr">
        <is>
          <t>custom curriculum lite; dashboard; billing centralizado</t>
        </is>
      </c>
      <c r="F8" s="11" t="n">
        <v>0.8</v>
      </c>
    </row>
    <row r="9">
      <c r="A9" s="5" t="inlineStr">
        <is>
          <t>business B2B</t>
        </is>
      </c>
      <c r="B9" s="9" t="n">
        <v>29</v>
      </c>
      <c r="C9" s="9" t="n">
        <v>348</v>
      </c>
      <c r="D9" s="5" t="inlineStr">
        <is>
          <t>20-99</t>
        </is>
      </c>
      <c r="E9" s="5" t="inlineStr">
        <is>
          <t>custom curriculum; BYOK operación; SSO opcional</t>
        </is>
      </c>
      <c r="F9" s="11" t="n">
        <v>0.75</v>
      </c>
    </row>
    <row r="10">
      <c r="A10" s="5" t="inlineStr">
        <is>
          <t>enterprise</t>
        </is>
      </c>
      <c r="B10" s="9" t="n">
        <v>19</v>
      </c>
      <c r="C10" s="9" t="n">
        <v>228</v>
      </c>
      <c r="D10" s="5" t="inlineStr">
        <is>
          <t>100+</t>
        </is>
      </c>
      <c r="E10" s="5" t="inlineStr">
        <is>
          <t>full custom; CSM dedicado; SLA; integraciones</t>
        </is>
      </c>
      <c r="F10" s="11" t="n">
        <v>0.7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modelo forecast 12 meses — 3 escenarios</t>
        </is>
      </c>
    </row>
    <row r="2">
      <c r="A2" s="2" t="inlineStr">
        <is>
          <t>valores en USD para comparabilidad. base = inflow estable + 0 revenue. downside = inflow se cae mes 4. upside = primer cliente B2B team mes 3.</t>
        </is>
      </c>
    </row>
    <row r="4">
      <c r="A4" s="3" t="inlineStr">
        <is>
          <t>concepto</t>
        </is>
      </c>
      <c r="B4" s="3" t="inlineStr">
        <is>
          <t>abr-26</t>
        </is>
      </c>
      <c r="C4" s="3" t="inlineStr">
        <is>
          <t>may-26</t>
        </is>
      </c>
      <c r="D4" s="3" t="inlineStr">
        <is>
          <t>jun-26</t>
        </is>
      </c>
      <c r="E4" s="3" t="inlineStr">
        <is>
          <t>jul-26</t>
        </is>
      </c>
      <c r="F4" s="3" t="inlineStr">
        <is>
          <t>ago-26</t>
        </is>
      </c>
      <c r="G4" s="3" t="inlineStr">
        <is>
          <t>sep-26</t>
        </is>
      </c>
      <c r="H4" s="3" t="inlineStr">
        <is>
          <t>oct-26</t>
        </is>
      </c>
      <c r="I4" s="3" t="inlineStr">
        <is>
          <t>nov-26</t>
        </is>
      </c>
      <c r="J4" s="3" t="inlineStr">
        <is>
          <t>dic-26</t>
        </is>
      </c>
      <c r="K4" s="3" t="inlineStr">
        <is>
          <t>ene-27</t>
        </is>
      </c>
      <c r="L4" s="3" t="inlineStr">
        <is>
          <t>feb-27</t>
        </is>
      </c>
      <c r="M4" s="3" t="inlineStr">
        <is>
          <t>mar-27</t>
        </is>
      </c>
    </row>
    <row r="5">
      <c r="A5" s="15" t="inlineStr">
        <is>
          <t>ESCENARIO BASE — inflow estable, sin revenue B2B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>
      <c r="A6" s="5" t="inlineStr">
        <is>
          <t xml:space="preserve">  inflow externo (USD)</t>
        </is>
      </c>
      <c r="B6" s="29">
        <f>asunciones!$B$13/asunciones!$B$6*1</f>
        <v/>
      </c>
      <c r="C6" s="29">
        <f>asunciones!$B$13/asunciones!$B$6*1</f>
        <v/>
      </c>
      <c r="D6" s="29">
        <f>asunciones!$B$13/asunciones!$B$6*1</f>
        <v/>
      </c>
      <c r="E6" s="29">
        <f>asunciones!$B$13/asunciones!$B$6*1</f>
        <v/>
      </c>
      <c r="F6" s="29">
        <f>asunciones!$B$13/asunciones!$B$6*1</f>
        <v/>
      </c>
      <c r="G6" s="29">
        <f>asunciones!$B$13/asunciones!$B$6*1</f>
        <v/>
      </c>
      <c r="H6" s="29">
        <f>asunciones!$B$13/asunciones!$B$6*1</f>
        <v/>
      </c>
      <c r="I6" s="29">
        <f>asunciones!$B$13/asunciones!$B$6*1</f>
        <v/>
      </c>
      <c r="J6" s="29">
        <f>asunciones!$B$13/asunciones!$B$6*1</f>
        <v/>
      </c>
      <c r="K6" s="29">
        <f>asunciones!$B$13/asunciones!$B$6*1</f>
        <v/>
      </c>
      <c r="L6" s="29">
        <f>asunciones!$B$13/asunciones!$B$6*1</f>
        <v/>
      </c>
      <c r="M6" s="29">
        <f>asunciones!$B$13/asunciones!$B$6*1</f>
        <v/>
      </c>
    </row>
    <row r="7">
      <c r="A7" s="5" t="inlineStr">
        <is>
          <t xml:space="preserve">  seats B2B activos</t>
        </is>
      </c>
      <c r="B7" s="30">
        <f>0</f>
        <v/>
      </c>
      <c r="C7" s="30">
        <f>0</f>
        <v/>
      </c>
      <c r="D7" s="30">
        <f>0</f>
        <v/>
      </c>
      <c r="E7" s="30">
        <f>0</f>
        <v/>
      </c>
      <c r="F7" s="30">
        <f>0</f>
        <v/>
      </c>
      <c r="G7" s="30">
        <f>0</f>
        <v/>
      </c>
      <c r="H7" s="30">
        <f>0</f>
        <v/>
      </c>
      <c r="I7" s="30">
        <f>0</f>
        <v/>
      </c>
      <c r="J7" s="30">
        <f>0</f>
        <v/>
      </c>
      <c r="K7" s="30">
        <f>0</f>
        <v/>
      </c>
      <c r="L7" s="30">
        <f>0</f>
        <v/>
      </c>
      <c r="M7" s="30">
        <f>0</f>
        <v/>
      </c>
    </row>
    <row r="8">
      <c r="A8" s="5" t="inlineStr">
        <is>
          <t xml:space="preserve">  revenue B2B team (USD)</t>
        </is>
      </c>
      <c r="B8" s="29">
        <f>B7*asunciones!$B$20</f>
        <v/>
      </c>
      <c r="C8" s="29">
        <f>C7*asunciones!$B$20</f>
        <v/>
      </c>
      <c r="D8" s="29">
        <f>D7*asunciones!$B$20</f>
        <v/>
      </c>
      <c r="E8" s="29">
        <f>E7*asunciones!$B$20</f>
        <v/>
      </c>
      <c r="F8" s="29">
        <f>F7*asunciones!$B$20</f>
        <v/>
      </c>
      <c r="G8" s="29">
        <f>G7*asunciones!$B$20</f>
        <v/>
      </c>
      <c r="H8" s="29">
        <f>H7*asunciones!$B$20</f>
        <v/>
      </c>
      <c r="I8" s="29">
        <f>I7*asunciones!$B$20</f>
        <v/>
      </c>
      <c r="J8" s="29">
        <f>J7*asunciones!$B$20</f>
        <v/>
      </c>
      <c r="K8" s="29">
        <f>K7*asunciones!$B$20</f>
        <v/>
      </c>
      <c r="L8" s="29">
        <f>L7*asunciones!$B$20</f>
        <v/>
      </c>
      <c r="M8" s="29">
        <f>M7*asunciones!$B$20</f>
        <v/>
      </c>
    </row>
    <row r="9">
      <c r="A9" s="5" t="inlineStr">
        <is>
          <t xml:space="preserve">  burn técnico (USD)</t>
        </is>
      </c>
      <c r="B9" s="29">
        <f>costos_mensuales!D16</f>
        <v/>
      </c>
      <c r="C9" s="29">
        <f>costos_mensuales!E16</f>
        <v/>
      </c>
      <c r="D9" s="29">
        <f>costos_mensuales!F16</f>
        <v/>
      </c>
      <c r="E9" s="29">
        <f>costos_mensuales!G16</f>
        <v/>
      </c>
      <c r="F9" s="29">
        <f>costos_mensuales!H16</f>
        <v/>
      </c>
      <c r="G9" s="29">
        <f>costos_mensuales!I16</f>
        <v/>
      </c>
      <c r="H9" s="29">
        <f>costos_mensuales!J16</f>
        <v/>
      </c>
      <c r="I9" s="29">
        <f>costos_mensuales!K16</f>
        <v/>
      </c>
      <c r="J9" s="29">
        <f>costos_mensuales!L16</f>
        <v/>
      </c>
      <c r="K9" s="29">
        <f>costos_mensuales!M16</f>
        <v/>
      </c>
      <c r="L9" s="29">
        <f>costos_mensuales!N16</f>
        <v/>
      </c>
      <c r="M9" s="29">
        <f>costos_mensuales!O16</f>
        <v/>
      </c>
    </row>
    <row r="10">
      <c r="A10" s="5" t="inlineStr">
        <is>
          <t xml:space="preserve">  COGS variable (B2B users × COGS/user)</t>
        </is>
      </c>
      <c r="B10" s="29">
        <f>B7*asunciones!$B$26</f>
        <v/>
      </c>
      <c r="C10" s="29">
        <f>C7*asunciones!$B$26</f>
        <v/>
      </c>
      <c r="D10" s="29">
        <f>D7*asunciones!$B$26</f>
        <v/>
      </c>
      <c r="E10" s="29">
        <f>E7*asunciones!$B$26</f>
        <v/>
      </c>
      <c r="F10" s="29">
        <f>F7*asunciones!$B$26</f>
        <v/>
      </c>
      <c r="G10" s="29">
        <f>G7*asunciones!$B$26</f>
        <v/>
      </c>
      <c r="H10" s="29">
        <f>H7*asunciones!$B$26</f>
        <v/>
      </c>
      <c r="I10" s="29">
        <f>I7*asunciones!$B$26</f>
        <v/>
      </c>
      <c r="J10" s="29">
        <f>J7*asunciones!$B$26</f>
        <v/>
      </c>
      <c r="K10" s="29">
        <f>K7*asunciones!$B$26</f>
        <v/>
      </c>
      <c r="L10" s="29">
        <f>L7*asunciones!$B$26</f>
        <v/>
      </c>
      <c r="M10" s="29">
        <f>M7*asunciones!$B$26</f>
        <v/>
      </c>
    </row>
    <row r="11">
      <c r="A11" s="5" t="inlineStr">
        <is>
          <t xml:space="preserve">  marketing (USD)</t>
        </is>
      </c>
      <c r="B11" s="29">
        <f>asunciones!$B$12+asunciones!$B$11</f>
        <v/>
      </c>
      <c r="C11" s="29">
        <f>asunciones!$B$12+asunciones!$B$11</f>
        <v/>
      </c>
      <c r="D11" s="29">
        <f>asunciones!$B$12+asunciones!$B$11</f>
        <v/>
      </c>
      <c r="E11" s="29">
        <f>asunciones!$B$12+asunciones!$B$11</f>
        <v/>
      </c>
      <c r="F11" s="29">
        <f>asunciones!$B$12+asunciones!$B$11</f>
        <v/>
      </c>
      <c r="G11" s="29">
        <f>asunciones!$B$12+asunciones!$B$11</f>
        <v/>
      </c>
      <c r="H11" s="29">
        <f>asunciones!$B$12+asunciones!$B$11</f>
        <v/>
      </c>
      <c r="I11" s="29">
        <f>asunciones!$B$12+asunciones!$B$11</f>
        <v/>
      </c>
      <c r="J11" s="29">
        <f>asunciones!$B$12+asunciones!$B$11</f>
        <v/>
      </c>
      <c r="K11" s="29">
        <f>asunciones!$B$12+asunciones!$B$11</f>
        <v/>
      </c>
      <c r="L11" s="29">
        <f>asunciones!$B$12+asunciones!$B$11</f>
        <v/>
      </c>
      <c r="M11" s="29">
        <f>asunciones!$B$12+asunciones!$B$11</f>
        <v/>
      </c>
    </row>
    <row r="12">
      <c r="A12" s="31" t="inlineStr">
        <is>
          <t xml:space="preserve">  NETO (USD)</t>
        </is>
      </c>
      <c r="B12" s="32">
        <f>B6+B8-B9-B10-B11</f>
        <v/>
      </c>
      <c r="C12" s="32">
        <f>C6+C8-C9-C10-C11</f>
        <v/>
      </c>
      <c r="D12" s="32">
        <f>D6+D8-D9-D10-D11</f>
        <v/>
      </c>
      <c r="E12" s="32">
        <f>E6+E8-E9-E10-E11</f>
        <v/>
      </c>
      <c r="F12" s="32">
        <f>F6+F8-F9-F10-F11</f>
        <v/>
      </c>
      <c r="G12" s="32">
        <f>G6+G8-G9-G10-G11</f>
        <v/>
      </c>
      <c r="H12" s="32">
        <f>H6+H8-H9-H10-H11</f>
        <v/>
      </c>
      <c r="I12" s="32">
        <f>I6+I8-I9-I10-I11</f>
        <v/>
      </c>
      <c r="J12" s="32">
        <f>J6+J8-J9-J10-J11</f>
        <v/>
      </c>
      <c r="K12" s="32">
        <f>K6+K8-K9-K10-K11</f>
        <v/>
      </c>
      <c r="L12" s="32">
        <f>L6+L8-L9-L10-L11</f>
        <v/>
      </c>
      <c r="M12" s="32">
        <f>M6+M8-M9-M10-M11</f>
        <v/>
      </c>
    </row>
    <row r="13">
      <c r="A13" s="31" t="inlineStr">
        <is>
          <t xml:space="preserve">  CASH ACUMULADO (USD)</t>
        </is>
      </c>
      <c r="B13" s="33">
        <f>asunciones!$B$9/asunciones!$B$6+B12</f>
        <v/>
      </c>
      <c r="C13" s="33">
        <f>B13+C12</f>
        <v/>
      </c>
      <c r="D13" s="33">
        <f>C13+D12</f>
        <v/>
      </c>
      <c r="E13" s="33">
        <f>D13+E12</f>
        <v/>
      </c>
      <c r="F13" s="33">
        <f>E13+F12</f>
        <v/>
      </c>
      <c r="G13" s="33">
        <f>F13+G12</f>
        <v/>
      </c>
      <c r="H13" s="33">
        <f>G13+H12</f>
        <v/>
      </c>
      <c r="I13" s="33">
        <f>H13+I12</f>
        <v/>
      </c>
      <c r="J13" s="33">
        <f>I13+J12</f>
        <v/>
      </c>
      <c r="K13" s="33">
        <f>J13+K12</f>
        <v/>
      </c>
      <c r="L13" s="33">
        <f>K13+L12</f>
        <v/>
      </c>
      <c r="M13" s="33">
        <f>L13+M12</f>
        <v/>
      </c>
    </row>
    <row r="15">
      <c r="A15" s="15" t="inlineStr">
        <is>
          <t>ESCENARIO DOWNSIDE — inflow cae mes 4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>
      <c r="A16" s="5" t="inlineStr">
        <is>
          <t xml:space="preserve">  inflow externo (USD)</t>
        </is>
      </c>
      <c r="B16" s="29">
        <f>asunciones!$B$13/asunciones!$B$6*1</f>
        <v/>
      </c>
      <c r="C16" s="29">
        <f>asunciones!$B$13/asunciones!$B$6*1</f>
        <v/>
      </c>
      <c r="D16" s="29">
        <f>asunciones!$B$13/asunciones!$B$6*1</f>
        <v/>
      </c>
      <c r="E16" s="29">
        <f>asunciones!$B$13/asunciones!$B$6*0</f>
        <v/>
      </c>
      <c r="F16" s="29">
        <f>asunciones!$B$13/asunciones!$B$6*0</f>
        <v/>
      </c>
      <c r="G16" s="29">
        <f>asunciones!$B$13/asunciones!$B$6*0</f>
        <v/>
      </c>
      <c r="H16" s="29">
        <f>asunciones!$B$13/asunciones!$B$6*0</f>
        <v/>
      </c>
      <c r="I16" s="29">
        <f>asunciones!$B$13/asunciones!$B$6*0</f>
        <v/>
      </c>
      <c r="J16" s="29">
        <f>asunciones!$B$13/asunciones!$B$6*0</f>
        <v/>
      </c>
      <c r="K16" s="29">
        <f>asunciones!$B$13/asunciones!$B$6*0</f>
        <v/>
      </c>
      <c r="L16" s="29">
        <f>asunciones!$B$13/asunciones!$B$6*0</f>
        <v/>
      </c>
      <c r="M16" s="29">
        <f>asunciones!$B$13/asunciones!$B$6*0</f>
        <v/>
      </c>
    </row>
    <row r="17">
      <c r="A17" s="5" t="inlineStr">
        <is>
          <t xml:space="preserve">  seats B2B activos</t>
        </is>
      </c>
      <c r="B17" s="30">
        <f>0</f>
        <v/>
      </c>
      <c r="C17" s="30">
        <f>0</f>
        <v/>
      </c>
      <c r="D17" s="30">
        <f>0</f>
        <v/>
      </c>
      <c r="E17" s="30">
        <f>0</f>
        <v/>
      </c>
      <c r="F17" s="30">
        <f>0</f>
        <v/>
      </c>
      <c r="G17" s="30">
        <f>0</f>
        <v/>
      </c>
      <c r="H17" s="30">
        <f>0</f>
        <v/>
      </c>
      <c r="I17" s="30">
        <f>0</f>
        <v/>
      </c>
      <c r="J17" s="30">
        <f>0</f>
        <v/>
      </c>
      <c r="K17" s="30">
        <f>0</f>
        <v/>
      </c>
      <c r="L17" s="30">
        <f>0</f>
        <v/>
      </c>
      <c r="M17" s="30">
        <f>0</f>
        <v/>
      </c>
    </row>
    <row r="18">
      <c r="A18" s="5" t="inlineStr">
        <is>
          <t xml:space="preserve">  revenue B2B team (USD)</t>
        </is>
      </c>
      <c r="B18" s="29">
        <f>B17*asunciones!$B$20</f>
        <v/>
      </c>
      <c r="C18" s="29">
        <f>C17*asunciones!$B$20</f>
        <v/>
      </c>
      <c r="D18" s="29">
        <f>D17*asunciones!$B$20</f>
        <v/>
      </c>
      <c r="E18" s="29">
        <f>E17*asunciones!$B$20</f>
        <v/>
      </c>
      <c r="F18" s="29">
        <f>F17*asunciones!$B$20</f>
        <v/>
      </c>
      <c r="G18" s="29">
        <f>G17*asunciones!$B$20</f>
        <v/>
      </c>
      <c r="H18" s="29">
        <f>H17*asunciones!$B$20</f>
        <v/>
      </c>
      <c r="I18" s="29">
        <f>I17*asunciones!$B$20</f>
        <v/>
      </c>
      <c r="J18" s="29">
        <f>J17*asunciones!$B$20</f>
        <v/>
      </c>
      <c r="K18" s="29">
        <f>K17*asunciones!$B$20</f>
        <v/>
      </c>
      <c r="L18" s="29">
        <f>L17*asunciones!$B$20</f>
        <v/>
      </c>
      <c r="M18" s="29">
        <f>M17*asunciones!$B$20</f>
        <v/>
      </c>
    </row>
    <row r="19">
      <c r="A19" s="5" t="inlineStr">
        <is>
          <t xml:space="preserve">  burn técnico (USD)</t>
        </is>
      </c>
      <c r="B19" s="29">
        <f>costos_mensuales!D16</f>
        <v/>
      </c>
      <c r="C19" s="29">
        <f>costos_mensuales!E16</f>
        <v/>
      </c>
      <c r="D19" s="29">
        <f>costos_mensuales!F16</f>
        <v/>
      </c>
      <c r="E19" s="29">
        <f>costos_mensuales!G16</f>
        <v/>
      </c>
      <c r="F19" s="29">
        <f>costos_mensuales!H16</f>
        <v/>
      </c>
      <c r="G19" s="29">
        <f>costos_mensuales!I16</f>
        <v/>
      </c>
      <c r="H19" s="29">
        <f>costos_mensuales!J16</f>
        <v/>
      </c>
      <c r="I19" s="29">
        <f>costos_mensuales!K16</f>
        <v/>
      </c>
      <c r="J19" s="29">
        <f>costos_mensuales!L16</f>
        <v/>
      </c>
      <c r="K19" s="29">
        <f>costos_mensuales!M16</f>
        <v/>
      </c>
      <c r="L19" s="29">
        <f>costos_mensuales!N16</f>
        <v/>
      </c>
      <c r="M19" s="29">
        <f>costos_mensuales!O16</f>
        <v/>
      </c>
    </row>
    <row r="20">
      <c r="A20" s="5" t="inlineStr">
        <is>
          <t xml:space="preserve">  COGS variable (B2B users × COGS/user)</t>
        </is>
      </c>
      <c r="B20" s="29">
        <f>B17*asunciones!$B$26</f>
        <v/>
      </c>
      <c r="C20" s="29">
        <f>C17*asunciones!$B$26</f>
        <v/>
      </c>
      <c r="D20" s="29">
        <f>D17*asunciones!$B$26</f>
        <v/>
      </c>
      <c r="E20" s="29">
        <f>E17*asunciones!$B$26</f>
        <v/>
      </c>
      <c r="F20" s="29">
        <f>F17*asunciones!$B$26</f>
        <v/>
      </c>
      <c r="G20" s="29">
        <f>G17*asunciones!$B$26</f>
        <v/>
      </c>
      <c r="H20" s="29">
        <f>H17*asunciones!$B$26</f>
        <v/>
      </c>
      <c r="I20" s="29">
        <f>I17*asunciones!$B$26</f>
        <v/>
      </c>
      <c r="J20" s="29">
        <f>J17*asunciones!$B$26</f>
        <v/>
      </c>
      <c r="K20" s="29">
        <f>K17*asunciones!$B$26</f>
        <v/>
      </c>
      <c r="L20" s="29">
        <f>L17*asunciones!$B$26</f>
        <v/>
      </c>
      <c r="M20" s="29">
        <f>M17*asunciones!$B$26</f>
        <v/>
      </c>
    </row>
    <row r="21">
      <c r="A21" s="5" t="inlineStr">
        <is>
          <t xml:space="preserve">  marketing (USD)</t>
        </is>
      </c>
      <c r="B21" s="29">
        <f>asunciones!$B$12+asunciones!$B$11</f>
        <v/>
      </c>
      <c r="C21" s="29">
        <f>asunciones!$B$12+asunciones!$B$11</f>
        <v/>
      </c>
      <c r="D21" s="29">
        <f>asunciones!$B$12+asunciones!$B$11</f>
        <v/>
      </c>
      <c r="E21" s="29">
        <f>asunciones!$B$12+asunciones!$B$11</f>
        <v/>
      </c>
      <c r="F21" s="29">
        <f>asunciones!$B$12+asunciones!$B$11</f>
        <v/>
      </c>
      <c r="G21" s="29">
        <f>asunciones!$B$12+asunciones!$B$11</f>
        <v/>
      </c>
      <c r="H21" s="29">
        <f>asunciones!$B$12+asunciones!$B$11</f>
        <v/>
      </c>
      <c r="I21" s="29">
        <f>asunciones!$B$12+asunciones!$B$11</f>
        <v/>
      </c>
      <c r="J21" s="29">
        <f>asunciones!$B$12+asunciones!$B$11</f>
        <v/>
      </c>
      <c r="K21" s="29">
        <f>asunciones!$B$12+asunciones!$B$11</f>
        <v/>
      </c>
      <c r="L21" s="29">
        <f>asunciones!$B$12+asunciones!$B$11</f>
        <v/>
      </c>
      <c r="M21" s="29">
        <f>asunciones!$B$12+asunciones!$B$11</f>
        <v/>
      </c>
    </row>
    <row r="22">
      <c r="A22" s="31" t="inlineStr">
        <is>
          <t xml:space="preserve">  NETO (USD)</t>
        </is>
      </c>
      <c r="B22" s="32">
        <f>B16+B18-B19-B20-B21</f>
        <v/>
      </c>
      <c r="C22" s="32">
        <f>C16+C18-C19-C20-C21</f>
        <v/>
      </c>
      <c r="D22" s="32">
        <f>D16+D18-D19-D20-D21</f>
        <v/>
      </c>
      <c r="E22" s="32">
        <f>E16+E18-E19-E20-E21</f>
        <v/>
      </c>
      <c r="F22" s="32">
        <f>F16+F18-F19-F20-F21</f>
        <v/>
      </c>
      <c r="G22" s="32">
        <f>G16+G18-G19-G20-G21</f>
        <v/>
      </c>
      <c r="H22" s="32">
        <f>H16+H18-H19-H20-H21</f>
        <v/>
      </c>
      <c r="I22" s="32">
        <f>I16+I18-I19-I20-I21</f>
        <v/>
      </c>
      <c r="J22" s="32">
        <f>J16+J18-J19-J20-J21</f>
        <v/>
      </c>
      <c r="K22" s="32">
        <f>K16+K18-K19-K20-K21</f>
        <v/>
      </c>
      <c r="L22" s="32">
        <f>L16+L18-L19-L20-L21</f>
        <v/>
      </c>
      <c r="M22" s="32">
        <f>M16+M18-M19-M20-M21</f>
        <v/>
      </c>
    </row>
    <row r="23">
      <c r="A23" s="31" t="inlineStr">
        <is>
          <t xml:space="preserve">  CASH ACUMULADO (USD)</t>
        </is>
      </c>
      <c r="B23" s="33">
        <f>asunciones!$B$9/asunciones!$B$6+B22</f>
        <v/>
      </c>
      <c r="C23" s="33">
        <f>B23+C22</f>
        <v/>
      </c>
      <c r="D23" s="33">
        <f>C23+D22</f>
        <v/>
      </c>
      <c r="E23" s="33">
        <f>D23+E22</f>
        <v/>
      </c>
      <c r="F23" s="33">
        <f>E23+F22</f>
        <v/>
      </c>
      <c r="G23" s="33">
        <f>F23+G22</f>
        <v/>
      </c>
      <c r="H23" s="33">
        <f>G23+H22</f>
        <v/>
      </c>
      <c r="I23" s="33">
        <f>H23+I22</f>
        <v/>
      </c>
      <c r="J23" s="33">
        <f>I23+J22</f>
        <v/>
      </c>
      <c r="K23" s="33">
        <f>J23+K22</f>
        <v/>
      </c>
      <c r="L23" s="33">
        <f>K23+L22</f>
        <v/>
      </c>
      <c r="M23" s="33">
        <f>L23+M22</f>
        <v/>
      </c>
    </row>
    <row r="25">
      <c r="A25" s="15" t="inlineStr">
        <is>
          <t>ESCENARIO UPSIDE — primer cliente B2B 10 seats mes 3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>
      <c r="A26" s="5" t="inlineStr">
        <is>
          <t xml:space="preserve">  inflow externo (USD)</t>
        </is>
      </c>
      <c r="B26" s="29">
        <f>asunciones!$B$13/asunciones!$B$6*1</f>
        <v/>
      </c>
      <c r="C26" s="29">
        <f>asunciones!$B$13/asunciones!$B$6*1</f>
        <v/>
      </c>
      <c r="D26" s="29">
        <f>asunciones!$B$13/asunciones!$B$6*1</f>
        <v/>
      </c>
      <c r="E26" s="29">
        <f>asunciones!$B$13/asunciones!$B$6*1</f>
        <v/>
      </c>
      <c r="F26" s="29">
        <f>asunciones!$B$13/asunciones!$B$6*1</f>
        <v/>
      </c>
      <c r="G26" s="29">
        <f>asunciones!$B$13/asunciones!$B$6*1</f>
        <v/>
      </c>
      <c r="H26" s="29">
        <f>asunciones!$B$13/asunciones!$B$6*1</f>
        <v/>
      </c>
      <c r="I26" s="29">
        <f>asunciones!$B$13/asunciones!$B$6*1</f>
        <v/>
      </c>
      <c r="J26" s="29">
        <f>asunciones!$B$13/asunciones!$B$6*1</f>
        <v/>
      </c>
      <c r="K26" s="29">
        <f>asunciones!$B$13/asunciones!$B$6*1</f>
        <v/>
      </c>
      <c r="L26" s="29">
        <f>asunciones!$B$13/asunciones!$B$6*1</f>
        <v/>
      </c>
      <c r="M26" s="29">
        <f>asunciones!$B$13/asunciones!$B$6*1</f>
        <v/>
      </c>
    </row>
    <row r="27">
      <c r="A27" s="5" t="inlineStr">
        <is>
          <t xml:space="preserve">  seats B2B activos</t>
        </is>
      </c>
      <c r="B27" s="30">
        <f>0</f>
        <v/>
      </c>
      <c r="C27" s="30">
        <f>0</f>
        <v/>
      </c>
      <c r="D27" s="10" t="n">
        <v>10</v>
      </c>
      <c r="E27" s="30">
        <f>D27+10</f>
        <v/>
      </c>
      <c r="F27" s="30">
        <f>E27+10</f>
        <v/>
      </c>
      <c r="G27" s="30">
        <f>F27+10</f>
        <v/>
      </c>
      <c r="H27" s="30">
        <f>G27+10</f>
        <v/>
      </c>
      <c r="I27" s="30">
        <f>H27+10</f>
        <v/>
      </c>
      <c r="J27" s="30">
        <f>I27+10</f>
        <v/>
      </c>
      <c r="K27" s="30">
        <f>J27+10</f>
        <v/>
      </c>
      <c r="L27" s="30">
        <f>K27+10</f>
        <v/>
      </c>
      <c r="M27" s="30">
        <f>L27+10</f>
        <v/>
      </c>
    </row>
    <row r="28">
      <c r="A28" s="5" t="inlineStr">
        <is>
          <t xml:space="preserve">  revenue B2B team (USD)</t>
        </is>
      </c>
      <c r="B28" s="29">
        <f>B27*asunciones!$B$20</f>
        <v/>
      </c>
      <c r="C28" s="29">
        <f>C27*asunciones!$B$20</f>
        <v/>
      </c>
      <c r="D28" s="29">
        <f>D27*asunciones!$B$20</f>
        <v/>
      </c>
      <c r="E28" s="29">
        <f>E27*asunciones!$B$20</f>
        <v/>
      </c>
      <c r="F28" s="29">
        <f>F27*asunciones!$B$20</f>
        <v/>
      </c>
      <c r="G28" s="29">
        <f>G27*asunciones!$B$20</f>
        <v/>
      </c>
      <c r="H28" s="29">
        <f>H27*asunciones!$B$20</f>
        <v/>
      </c>
      <c r="I28" s="29">
        <f>I27*asunciones!$B$20</f>
        <v/>
      </c>
      <c r="J28" s="29">
        <f>J27*asunciones!$B$20</f>
        <v/>
      </c>
      <c r="K28" s="29">
        <f>K27*asunciones!$B$20</f>
        <v/>
      </c>
      <c r="L28" s="29">
        <f>L27*asunciones!$B$20</f>
        <v/>
      </c>
      <c r="M28" s="29">
        <f>M27*asunciones!$B$20</f>
        <v/>
      </c>
    </row>
    <row r="29">
      <c r="A29" s="5" t="inlineStr">
        <is>
          <t xml:space="preserve">  burn técnico (USD)</t>
        </is>
      </c>
      <c r="B29" s="29">
        <f>costos_mensuales!D16</f>
        <v/>
      </c>
      <c r="C29" s="29">
        <f>costos_mensuales!E16</f>
        <v/>
      </c>
      <c r="D29" s="29">
        <f>costos_mensuales!F16</f>
        <v/>
      </c>
      <c r="E29" s="29">
        <f>costos_mensuales!G16</f>
        <v/>
      </c>
      <c r="F29" s="29">
        <f>costos_mensuales!H16</f>
        <v/>
      </c>
      <c r="G29" s="29">
        <f>costos_mensuales!I16</f>
        <v/>
      </c>
      <c r="H29" s="29">
        <f>costos_mensuales!J16</f>
        <v/>
      </c>
      <c r="I29" s="29">
        <f>costos_mensuales!K16</f>
        <v/>
      </c>
      <c r="J29" s="29">
        <f>costos_mensuales!L16</f>
        <v/>
      </c>
      <c r="K29" s="29">
        <f>costos_mensuales!M16</f>
        <v/>
      </c>
      <c r="L29" s="29">
        <f>costos_mensuales!N16</f>
        <v/>
      </c>
      <c r="M29" s="29">
        <f>costos_mensuales!O16</f>
        <v/>
      </c>
    </row>
    <row r="30">
      <c r="A30" s="5" t="inlineStr">
        <is>
          <t xml:space="preserve">  COGS variable (B2B users × COGS/user)</t>
        </is>
      </c>
      <c r="B30" s="29">
        <f>B27*asunciones!$B$26</f>
        <v/>
      </c>
      <c r="C30" s="29">
        <f>C27*asunciones!$B$26</f>
        <v/>
      </c>
      <c r="D30" s="29">
        <f>D27*asunciones!$B$26</f>
        <v/>
      </c>
      <c r="E30" s="29">
        <f>E27*asunciones!$B$26</f>
        <v/>
      </c>
      <c r="F30" s="29">
        <f>F27*asunciones!$B$26</f>
        <v/>
      </c>
      <c r="G30" s="29">
        <f>G27*asunciones!$B$26</f>
        <v/>
      </c>
      <c r="H30" s="29">
        <f>H27*asunciones!$B$26</f>
        <v/>
      </c>
      <c r="I30" s="29">
        <f>I27*asunciones!$B$26</f>
        <v/>
      </c>
      <c r="J30" s="29">
        <f>J27*asunciones!$B$26</f>
        <v/>
      </c>
      <c r="K30" s="29">
        <f>K27*asunciones!$B$26</f>
        <v/>
      </c>
      <c r="L30" s="29">
        <f>L27*asunciones!$B$26</f>
        <v/>
      </c>
      <c r="M30" s="29">
        <f>M27*asunciones!$B$26</f>
        <v/>
      </c>
    </row>
    <row r="31">
      <c r="A31" s="5" t="inlineStr">
        <is>
          <t xml:space="preserve">  marketing (USD)</t>
        </is>
      </c>
      <c r="B31" s="29">
        <f>asunciones!$B$12+asunciones!$B$11</f>
        <v/>
      </c>
      <c r="C31" s="29">
        <f>asunciones!$B$12+asunciones!$B$11</f>
        <v/>
      </c>
      <c r="D31" s="29">
        <f>asunciones!$B$12+asunciones!$B$11</f>
        <v/>
      </c>
      <c r="E31" s="29">
        <f>asunciones!$B$12+asunciones!$B$11</f>
        <v/>
      </c>
      <c r="F31" s="29">
        <f>asunciones!$B$12+asunciones!$B$11</f>
        <v/>
      </c>
      <c r="G31" s="29">
        <f>asunciones!$B$12+asunciones!$B$11</f>
        <v/>
      </c>
      <c r="H31" s="29">
        <f>asunciones!$B$12+asunciones!$B$11</f>
        <v/>
      </c>
      <c r="I31" s="29">
        <f>asunciones!$B$12+asunciones!$B$11</f>
        <v/>
      </c>
      <c r="J31" s="29">
        <f>asunciones!$B$12+asunciones!$B$11</f>
        <v/>
      </c>
      <c r="K31" s="29">
        <f>asunciones!$B$12+asunciones!$B$11</f>
        <v/>
      </c>
      <c r="L31" s="29">
        <f>asunciones!$B$12+asunciones!$B$11</f>
        <v/>
      </c>
      <c r="M31" s="29">
        <f>asunciones!$B$12+asunciones!$B$11</f>
        <v/>
      </c>
    </row>
    <row r="32">
      <c r="A32" s="31" t="inlineStr">
        <is>
          <t xml:space="preserve">  NETO (USD)</t>
        </is>
      </c>
      <c r="B32" s="32">
        <f>B26+B28-B29-B30-B31</f>
        <v/>
      </c>
      <c r="C32" s="32">
        <f>C26+C28-C29-C30-C31</f>
        <v/>
      </c>
      <c r="D32" s="32">
        <f>D26+D28-D29-D30-D31</f>
        <v/>
      </c>
      <c r="E32" s="32">
        <f>E26+E28-E29-E30-E31</f>
        <v/>
      </c>
      <c r="F32" s="32">
        <f>F26+F28-F29-F30-F31</f>
        <v/>
      </c>
      <c r="G32" s="32">
        <f>G26+G28-G29-G30-G31</f>
        <v/>
      </c>
      <c r="H32" s="32">
        <f>H26+H28-H29-H30-H31</f>
        <v/>
      </c>
      <c r="I32" s="32">
        <f>I26+I28-I29-I30-I31</f>
        <v/>
      </c>
      <c r="J32" s="32">
        <f>J26+J28-J29-J30-J31</f>
        <v/>
      </c>
      <c r="K32" s="32">
        <f>K26+K28-K29-K30-K31</f>
        <v/>
      </c>
      <c r="L32" s="32">
        <f>L26+L28-L29-L30-L31</f>
        <v/>
      </c>
      <c r="M32" s="32">
        <f>M26+M28-M29-M30-M31</f>
        <v/>
      </c>
    </row>
    <row r="33">
      <c r="A33" s="31" t="inlineStr">
        <is>
          <t xml:space="preserve">  CASH ACUMULADO (USD)</t>
        </is>
      </c>
      <c r="B33" s="33">
        <f>asunciones!$B$9/asunciones!$B$6+B32</f>
        <v/>
      </c>
      <c r="C33" s="33">
        <f>B33+C32</f>
        <v/>
      </c>
      <c r="D33" s="33">
        <f>C33+D32</f>
        <v/>
      </c>
      <c r="E33" s="33">
        <f>D33+E32</f>
        <v/>
      </c>
      <c r="F33" s="33">
        <f>E33+F32</f>
        <v/>
      </c>
      <c r="G33" s="33">
        <f>F33+G32</f>
        <v/>
      </c>
      <c r="H33" s="33">
        <f>G33+H32</f>
        <v/>
      </c>
      <c r="I33" s="33">
        <f>H33+I32</f>
        <v/>
      </c>
      <c r="J33" s="33">
        <f>I33+J32</f>
        <v/>
      </c>
      <c r="K33" s="33">
        <f>J33+K32</f>
        <v/>
      </c>
      <c r="L33" s="33">
        <f>K33+L32</f>
        <v/>
      </c>
      <c r="M33" s="33">
        <f>L33+M32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2026-04-27T22:45:06Z</dcterms:created>
  <dcterms:modified xmlns:dcterms="http://purl.org/dc/terms/" xmlns:xsi="http://www.w3.org/2001/XMLSchema-instance" xsi:type="dcterms:W3CDTF">2026-04-27T22:45:06Z</dcterms:modified>
</cp:coreProperties>
</file>